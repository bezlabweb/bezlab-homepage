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종합비교표" sheetId="1" r:id="rId1"/>
    <sheet name="접수현황 요약" sheetId="2" r:id="rId2"/>
  </sheets>
  <definedNames>
    <definedName name="_xlnm._FilterDatabase" localSheetId="0" hidden="1">종합비교표!$B$2:$N$26</definedName>
  </definedName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2"/>
  <c r="E13"/>
  <c r="D13"/>
  <c r="C13"/>
  <c r="F12"/>
  <c r="E12"/>
  <c r="D12"/>
  <c r="C12"/>
  <c r="F11"/>
  <c r="E11"/>
  <c r="D11"/>
  <c r="C11"/>
  <c r="F10"/>
  <c r="E10"/>
  <c r="D10"/>
  <c r="C10"/>
  <c r="F9"/>
  <c r="E9"/>
  <c r="D9"/>
  <c r="C9"/>
  <c r="F8"/>
  <c r="E8"/>
  <c r="D8"/>
  <c r="C8"/>
  <c r="F7"/>
  <c r="E7"/>
  <c r="D7"/>
  <c r="C7"/>
  <c r="F6"/>
  <c r="E6"/>
  <c r="D6"/>
  <c r="C6"/>
  <c r="F5"/>
  <c r="E5"/>
  <c r="D5"/>
  <c r="C5"/>
  <c r="F4"/>
  <c r="E4"/>
  <c r="D4"/>
  <c r="C4"/>
  <c r="D14" l="1"/>
  <c r="C14"/>
  <c r="E14"/>
  <c r="F14"/>
</calcChain>
</file>

<file path=xl/sharedStrings.xml><?xml version="1.0" encoding="utf-8"?>
<sst xmlns="http://schemas.openxmlformats.org/spreadsheetml/2006/main" count="343" uniqueCount="270">
  <si>
    <r>
      <rPr>
        <b/>
        <sz val="13"/>
        <rFont val="Noto Sans CJK SC"/>
        <family val="2"/>
        <charset val="1"/>
      </rPr>
      <t>그린리모델링</t>
    </r>
    <r>
      <rPr>
        <b/>
        <sz val="13"/>
        <rFont val="Cambria"/>
        <family val="1"/>
      </rPr>
      <t>·</t>
    </r>
    <r>
      <rPr>
        <b/>
        <sz val="13"/>
        <rFont val="Noto Sans CJK SC"/>
        <family val="2"/>
        <charset val="1"/>
      </rPr>
      <t>에너지절감</t>
    </r>
    <r>
      <rPr>
        <b/>
        <sz val="13"/>
        <rFont val="Cambria"/>
        <family val="1"/>
      </rPr>
      <t>·</t>
    </r>
    <r>
      <rPr>
        <b/>
        <sz val="13"/>
        <rFont val="Noto Sans CJK SC"/>
        <family val="2"/>
        <charset val="1"/>
      </rPr>
      <t xml:space="preserve">주거복지 개선 지원사업 종합 비교 데이터베이스 </t>
    </r>
    <r>
      <rPr>
        <b/>
        <sz val="13"/>
        <rFont val="Cambria"/>
        <family val="1"/>
      </rPr>
      <t>(</t>
    </r>
    <r>
      <rPr>
        <b/>
        <sz val="13"/>
        <rFont val="Noto Sans CJK SC"/>
        <family val="2"/>
        <charset val="1"/>
      </rPr>
      <t>기준일</t>
    </r>
    <r>
      <rPr>
        <b/>
        <sz val="13"/>
        <rFont val="Cambria"/>
        <family val="1"/>
      </rPr>
      <t>: 2026-09-08)</t>
    </r>
  </si>
  <si>
    <t>연번</t>
  </si>
  <si>
    <r>
      <rPr>
        <b/>
        <sz val="11"/>
        <color rgb="FFFFFFFF"/>
        <rFont val="Noto Sans CJK SC"/>
        <family val="2"/>
        <charset val="1"/>
      </rPr>
      <t>구분</t>
    </r>
    <r>
      <rPr>
        <b/>
        <sz val="11"/>
        <color rgb="FFFFFFFF"/>
        <rFont val="Cambria"/>
        <family val="1"/>
      </rPr>
      <t>(</t>
    </r>
    <r>
      <rPr>
        <b/>
        <sz val="11"/>
        <color rgb="FFFFFFFF"/>
        <rFont val="Noto Sans CJK SC"/>
        <family val="2"/>
        <charset val="1"/>
      </rPr>
      <t>권역</t>
    </r>
    <r>
      <rPr>
        <b/>
        <sz val="11"/>
        <color rgb="FFFFFFFF"/>
        <rFont val="Cambria"/>
        <family val="1"/>
      </rPr>
      <t>)</t>
    </r>
  </si>
  <si>
    <r>
      <rPr>
        <b/>
        <sz val="11"/>
        <color rgb="FFFFFFFF"/>
        <rFont val="Noto Sans CJK SC"/>
        <family val="2"/>
        <charset val="1"/>
      </rPr>
      <t>사업명</t>
    </r>
    <r>
      <rPr>
        <b/>
        <sz val="11"/>
        <color rgb="FFFFFFFF"/>
        <rFont val="Cambria"/>
        <family val="1"/>
      </rPr>
      <t>(</t>
    </r>
    <r>
      <rPr>
        <b/>
        <sz val="11"/>
        <color rgb="FFFFFFFF"/>
        <rFont val="Noto Sans CJK SC"/>
        <family val="2"/>
        <charset val="1"/>
      </rPr>
      <t>공식</t>
    </r>
    <r>
      <rPr>
        <b/>
        <sz val="11"/>
        <color rgb="FFFFFFFF"/>
        <rFont val="Cambria"/>
        <family val="1"/>
      </rPr>
      <t>)</t>
    </r>
  </si>
  <si>
    <r>
      <rPr>
        <b/>
        <sz val="11"/>
        <color rgb="FFFFFFFF"/>
        <rFont val="Noto Sans CJK SC"/>
        <family val="2"/>
        <charset val="1"/>
      </rPr>
      <t>시행기관</t>
    </r>
    <r>
      <rPr>
        <b/>
        <sz val="11"/>
        <color rgb="FFFFFFFF"/>
        <rFont val="Cambria"/>
        <family val="1"/>
      </rPr>
      <t>/</t>
    </r>
    <r>
      <rPr>
        <b/>
        <sz val="11"/>
        <color rgb="FFFFFFFF"/>
        <rFont val="Noto Sans CJK SC"/>
        <family val="2"/>
        <charset val="1"/>
      </rPr>
      <t>주관부서</t>
    </r>
  </si>
  <si>
    <t>지원대상</t>
  </si>
  <si>
    <r>
      <rPr>
        <b/>
        <sz val="11"/>
        <color rgb="FFFFFFFF"/>
        <rFont val="Noto Sans CJK SC"/>
        <family val="2"/>
        <charset val="1"/>
      </rPr>
      <t>지원한도</t>
    </r>
    <r>
      <rPr>
        <b/>
        <sz val="11"/>
        <color rgb="FFFFFFFF"/>
        <rFont val="Cambria"/>
        <family val="1"/>
      </rPr>
      <t>(</t>
    </r>
    <r>
      <rPr>
        <b/>
        <sz val="11"/>
        <color rgb="FFFFFFFF"/>
        <rFont val="Noto Sans CJK SC"/>
        <family val="2"/>
        <charset val="1"/>
      </rPr>
      <t>최대금액</t>
    </r>
    <r>
      <rPr>
        <b/>
        <sz val="11"/>
        <color rgb="FFFFFFFF"/>
        <rFont val="Cambria"/>
        <family val="1"/>
      </rPr>
      <t>)</t>
    </r>
  </si>
  <si>
    <t>지원율</t>
  </si>
  <si>
    <t>필수 공사조건 및 항목</t>
  </si>
  <si>
    <r>
      <rPr>
        <b/>
        <sz val="11"/>
        <color rgb="FFFFFFFF"/>
        <rFont val="Noto Sans CJK SC"/>
        <family val="2"/>
        <charset val="1"/>
      </rPr>
      <t>신청시기</t>
    </r>
    <r>
      <rPr>
        <b/>
        <sz val="11"/>
        <color rgb="FFFFFFFF"/>
        <rFont val="Cambria"/>
        <family val="1"/>
      </rPr>
      <t>(2026</t>
    </r>
    <r>
      <rPr>
        <b/>
        <sz val="11"/>
        <color rgb="FFFFFFFF"/>
        <rFont val="Noto Sans CJK SC"/>
        <family val="2"/>
        <charset val="1"/>
      </rPr>
      <t>년</t>
    </r>
    <r>
      <rPr>
        <b/>
        <sz val="11"/>
        <color rgb="FFFFFFFF"/>
        <rFont val="Cambria"/>
        <family val="1"/>
      </rPr>
      <t>)</t>
    </r>
  </si>
  <si>
    <t>접수처</t>
  </si>
  <si>
    <r>
      <rPr>
        <b/>
        <sz val="11"/>
        <color rgb="FFFFFFFF"/>
        <rFont val="Noto Sans CJK SC"/>
        <family val="2"/>
        <charset val="1"/>
      </rPr>
      <t>접수상태</t>
    </r>
    <r>
      <rPr>
        <b/>
        <sz val="11"/>
        <color rgb="FFFFFFFF"/>
        <rFont val="Cambria"/>
        <family val="1"/>
      </rPr>
      <t xml:space="preserve">(2026.9.8 </t>
    </r>
    <r>
      <rPr>
        <b/>
        <sz val="11"/>
        <color rgb="FFFFFFFF"/>
        <rFont val="Noto Sans CJK SC"/>
        <family val="2"/>
        <charset val="1"/>
      </rPr>
      <t>기준</t>
    </r>
    <r>
      <rPr>
        <b/>
        <sz val="11"/>
        <color rgb="FFFFFFFF"/>
        <rFont val="Cambria"/>
        <family val="1"/>
      </rPr>
      <t>)</t>
    </r>
  </si>
  <si>
    <t>상태구분</t>
  </si>
  <si>
    <r>
      <rPr>
        <b/>
        <sz val="11"/>
        <color rgb="FFFFFFFF"/>
        <rFont val="Noto Sans CJK SC"/>
        <family val="2"/>
        <charset val="1"/>
      </rPr>
      <t>출처</t>
    </r>
    <r>
      <rPr>
        <b/>
        <sz val="11"/>
        <color rgb="FFFFFFFF"/>
        <rFont val="Cambria"/>
        <family val="1"/>
      </rPr>
      <t>(URL)</t>
    </r>
  </si>
  <si>
    <t>국가</t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</si>
  <si>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>년 민간건축물 그린리모델링 컨설팅 지원사업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제</t>
    </r>
    <r>
      <rPr>
        <sz val="10"/>
        <rFont val="Cambria"/>
        <family val="1"/>
      </rPr>
      <t>2</t>
    </r>
    <r>
      <rPr>
        <sz val="10"/>
        <rFont val="Noto Sans CJK SC"/>
        <family val="2"/>
        <charset val="1"/>
      </rPr>
      <t>차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</si>
  <si>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국토교통부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녹색건축과</t>
    </r>
    <r>
      <rPr>
        <sz val="10"/>
        <rFont val="Cambria"/>
        <family val="1"/>
      </rPr>
      <t xml:space="preserve">) / </t>
    </r>
    <r>
      <rPr>
        <sz val="10"/>
        <rFont val="Noto Sans CJK SC"/>
        <family val="2"/>
        <charset val="1"/>
      </rPr>
      <t>국토안전관리원 그린리모델링 창조센터</t>
    </r>
  </si>
  <si>
    <r>
      <rPr>
        <sz val="10"/>
        <rFont val="Noto Sans CJK SC"/>
        <family val="2"/>
        <charset val="1"/>
      </rPr>
      <t xml:space="preserve">준공 </t>
    </r>
    <r>
      <rPr>
        <sz val="10"/>
        <rFont val="Cambria"/>
        <family val="1"/>
      </rPr>
      <t>10</t>
    </r>
    <r>
      <rPr>
        <sz val="10"/>
        <rFont val="Noto Sans CJK SC"/>
        <family val="2"/>
        <charset val="1"/>
      </rPr>
      <t>년 이상 경과 단독주택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비주거 건축물 소유주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공동주택 제외</t>
    </r>
    <r>
      <rPr>
        <sz val="10"/>
        <rFont val="Cambria"/>
        <family val="1"/>
      </rPr>
      <t>), 2026</t>
    </r>
    <r>
      <rPr>
        <sz val="10"/>
        <rFont val="Noto Sans CJK SC"/>
        <family val="2"/>
        <charset val="1"/>
      </rPr>
      <t xml:space="preserve">년 </t>
    </r>
    <r>
      <rPr>
        <sz val="10"/>
        <rFont val="Cambria"/>
        <family val="1"/>
      </rPr>
      <t>2</t>
    </r>
    <r>
      <rPr>
        <sz val="10"/>
        <rFont val="Noto Sans CJK SC"/>
        <family val="2"/>
        <charset val="1"/>
      </rPr>
      <t xml:space="preserve">차 </t>
    </r>
    <r>
      <rPr>
        <sz val="10"/>
        <rFont val="Cambria"/>
        <family val="1"/>
      </rPr>
      <t>300~500</t>
    </r>
    <r>
      <rPr>
        <sz val="10"/>
        <rFont val="Noto Sans CJK SC"/>
        <family val="2"/>
        <charset val="1"/>
      </rPr>
      <t>동 내외</t>
    </r>
  </si>
  <si>
    <r>
      <rPr>
        <sz val="10"/>
        <rFont val="Noto Sans CJK SC"/>
        <family val="2"/>
        <charset val="1"/>
      </rPr>
      <t>건축주 지원금 상한 미기재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컨설팅 비용 전액</t>
    </r>
    <r>
      <rPr>
        <sz val="10"/>
        <rFont val="Cambria"/>
        <family val="1"/>
      </rPr>
      <t xml:space="preserve">) / </t>
    </r>
    <r>
      <rPr>
        <sz val="10"/>
        <rFont val="Noto Sans CJK SC"/>
        <family val="2"/>
        <charset val="1"/>
      </rPr>
      <t xml:space="preserve">수행 컨소시엄당 </t>
    </r>
    <r>
      <rPr>
        <sz val="10"/>
        <rFont val="Cambria"/>
        <family val="1"/>
      </rPr>
      <t>4~6</t>
    </r>
    <r>
      <rPr>
        <sz val="10"/>
        <rFont val="Noto Sans CJK SC"/>
        <family val="2"/>
        <charset val="1"/>
      </rPr>
      <t>억원</t>
    </r>
  </si>
  <si>
    <r>
      <rPr>
        <sz val="10"/>
        <rFont val="Cambria"/>
        <family val="1"/>
      </rPr>
      <t>100%(</t>
    </r>
    <r>
      <rPr>
        <sz val="10"/>
        <rFont val="Noto Sans CJK SC"/>
        <family val="2"/>
        <charset val="1"/>
      </rPr>
      <t>무료 컨설팅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</si>
  <si>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 xml:space="preserve">공사 항목 아님 </t>
    </r>
    <r>
      <rPr>
        <sz val="10"/>
        <rFont val="Cambria"/>
        <family val="1"/>
      </rPr>
      <t xml:space="preserve">- </t>
    </r>
    <r>
      <rPr>
        <sz val="10"/>
        <rFont val="Noto Sans CJK SC"/>
        <family val="2"/>
        <charset val="1"/>
      </rPr>
      <t>현장진단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시뮬레이션 기반 개선안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견적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절감량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투자회수기간 분석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이자지원사업 신청서류 지원</t>
    </r>
  </si>
  <si>
    <r>
      <rPr>
        <sz val="10"/>
        <rFont val="Cambria"/>
        <family val="1"/>
      </rPr>
      <t>2026.7.1(2</t>
    </r>
    <r>
      <rPr>
        <sz val="10"/>
        <rFont val="Noto Sans CJK SC"/>
        <family val="2"/>
        <charset val="1"/>
      </rPr>
      <t>차</t>
    </r>
    <r>
      <rPr>
        <sz val="10"/>
        <rFont val="Cambria"/>
        <family val="1"/>
      </rPr>
      <t>)~</t>
    </r>
    <r>
      <rPr>
        <sz val="10"/>
        <rFont val="Noto Sans CJK SC"/>
        <family val="2"/>
        <charset val="1"/>
      </rPr>
      <t>예산 소진 시까지</t>
    </r>
  </si>
  <si>
    <r>
      <rPr>
        <sz val="10"/>
        <rFont val="Noto Sans CJK SC"/>
        <family val="2"/>
        <charset val="1"/>
      </rPr>
      <t xml:space="preserve">이메일 </t>
    </r>
    <r>
      <rPr>
        <sz val="10"/>
        <rFont val="Cambria"/>
        <family val="1"/>
      </rPr>
      <t xml:space="preserve">gr_kalis@kalis.or.kr, </t>
    </r>
    <r>
      <rPr>
        <sz val="10"/>
        <rFont val="Noto Sans CJK SC"/>
        <family val="2"/>
        <charset val="1"/>
      </rPr>
      <t>국토안전관리원 ☎</t>
    </r>
    <r>
      <rPr>
        <sz val="10"/>
        <rFont val="Cambria"/>
        <family val="1"/>
      </rPr>
      <t>055-771-4749/4907/4883</t>
    </r>
  </si>
  <si>
    <r>
      <rPr>
        <sz val="10"/>
        <rFont val="Noto Sans CJK SC"/>
        <family val="2"/>
        <charset val="1"/>
      </rPr>
      <t>진행 가능성 있음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조기 마감 가능</t>
    </r>
    <r>
      <rPr>
        <sz val="10"/>
        <rFont val="Cambria"/>
        <family val="1"/>
      </rPr>
      <t xml:space="preserve">) - </t>
    </r>
    <r>
      <rPr>
        <sz val="10"/>
        <rFont val="Noto Sans CJK SC"/>
        <family val="2"/>
        <charset val="1"/>
      </rPr>
      <t>콜센터 확인 필요</t>
    </r>
  </si>
  <si>
    <t>진행중</t>
  </si>
  <si>
    <t>https://www.greenremodeling.or.kr/n1/board/boardView.asp?bid=notice&amp;nSeq=5824 ; https://www.korea.kr/news/customizedNewsView.do?newsId=148964854</t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</si>
  <si>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>년 민간건축물 그린리모델링 이자지원 사업</t>
    </r>
  </si>
  <si>
    <r>
      <rPr>
        <sz val="10"/>
        <rFont val="Noto Sans CJK SC"/>
        <family val="2"/>
        <charset val="1"/>
      </rPr>
      <t>국토안전관리원 그린리모델링 창조센터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국토부 공고 제</t>
    </r>
    <r>
      <rPr>
        <sz val="10"/>
        <rFont val="Cambria"/>
        <family val="1"/>
      </rPr>
      <t>2026-350</t>
    </r>
    <r>
      <rPr>
        <sz val="10"/>
        <rFont val="Noto Sans CJK SC"/>
        <family val="2"/>
        <charset val="1"/>
      </rPr>
      <t>호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변경 제</t>
    </r>
    <r>
      <rPr>
        <sz val="10"/>
        <rFont val="Cambria"/>
        <family val="1"/>
      </rPr>
      <t>2026-876</t>
    </r>
    <r>
      <rPr>
        <sz val="10"/>
        <rFont val="Noto Sans CJK SC"/>
        <family val="2"/>
        <charset val="1"/>
      </rPr>
      <t>호</t>
    </r>
    <r>
      <rPr>
        <sz val="10"/>
        <rFont val="Cambria"/>
        <family val="1"/>
      </rPr>
      <t>)</t>
    </r>
  </si>
  <si>
    <r>
      <rPr>
        <sz val="10"/>
        <rFont val="Cambria"/>
        <family val="1"/>
      </rPr>
      <t xml:space="preserve">2016.1.1 </t>
    </r>
    <r>
      <rPr>
        <sz val="10"/>
        <rFont val="Noto Sans CJK SC"/>
        <family val="2"/>
        <charset val="1"/>
      </rPr>
      <t>이전 사용승인 민간건축물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단독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공동세대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비주거</t>
    </r>
    <r>
      <rPr>
        <sz val="10"/>
        <rFont val="Cambria"/>
        <family val="1"/>
      </rPr>
      <t xml:space="preserve">), </t>
    </r>
    <r>
      <rPr>
        <sz val="10"/>
        <rFont val="Noto Sans CJK SC"/>
        <family val="2"/>
        <charset val="1"/>
      </rPr>
      <t xml:space="preserve">공시가 </t>
    </r>
    <r>
      <rPr>
        <sz val="10"/>
        <rFont val="Cambria"/>
        <family val="1"/>
      </rPr>
      <t>12</t>
    </r>
    <r>
      <rPr>
        <sz val="10"/>
        <rFont val="Noto Sans CJK SC"/>
        <family val="2"/>
        <charset val="1"/>
      </rPr>
      <t>억원 초과 고가주택 제외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 xml:space="preserve">다주택자 </t>
    </r>
    <r>
      <rPr>
        <sz val="10"/>
        <rFont val="Cambria"/>
        <family val="1"/>
      </rPr>
      <t>1</t>
    </r>
    <r>
      <rPr>
        <sz val="10"/>
        <rFont val="Noto Sans CJK SC"/>
        <family val="2"/>
        <charset val="1"/>
      </rPr>
      <t>채 한정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취약계층 우대</t>
    </r>
  </si>
  <si>
    <r>
      <rPr>
        <sz val="10"/>
        <rFont val="Noto Sans CJK SC"/>
        <family val="2"/>
        <charset val="1"/>
      </rPr>
      <t xml:space="preserve">비주거 최대 </t>
    </r>
    <r>
      <rPr>
        <sz val="10"/>
        <rFont val="Cambria"/>
        <family val="1"/>
      </rPr>
      <t>200</t>
    </r>
    <r>
      <rPr>
        <sz val="10"/>
        <rFont val="Noto Sans CJK SC"/>
        <family val="2"/>
        <charset val="1"/>
      </rPr>
      <t xml:space="preserve">억원 </t>
    </r>
    <r>
      <rPr>
        <sz val="10"/>
        <rFont val="Cambria"/>
        <family val="1"/>
      </rPr>
      <t xml:space="preserve">/ </t>
    </r>
    <r>
      <rPr>
        <sz val="10"/>
        <rFont val="Noto Sans CJK SC"/>
        <family val="2"/>
        <charset val="1"/>
      </rPr>
      <t xml:space="preserve">단독주택 최대 </t>
    </r>
    <r>
      <rPr>
        <sz val="10"/>
        <rFont val="Cambria"/>
        <family val="1"/>
      </rPr>
      <t>1</t>
    </r>
    <r>
      <rPr>
        <sz val="10"/>
        <rFont val="Noto Sans CJK SC"/>
        <family val="2"/>
        <charset val="1"/>
      </rPr>
      <t xml:space="preserve">억원 </t>
    </r>
    <r>
      <rPr>
        <sz val="10"/>
        <rFont val="Cambria"/>
        <family val="1"/>
      </rPr>
      <t xml:space="preserve">/ </t>
    </r>
    <r>
      <rPr>
        <sz val="10"/>
        <rFont val="Noto Sans CJK SC"/>
        <family val="2"/>
        <charset val="1"/>
      </rPr>
      <t xml:space="preserve">공동주택 단위세대 최대 </t>
    </r>
    <r>
      <rPr>
        <sz val="10"/>
        <rFont val="Cambria"/>
        <family val="1"/>
      </rPr>
      <t>3</t>
    </r>
    <r>
      <rPr>
        <sz val="10"/>
        <rFont val="Noto Sans CJK SC"/>
        <family val="2"/>
        <charset val="1"/>
      </rPr>
      <t>천만원</t>
    </r>
  </si>
  <si>
    <r>
      <rPr>
        <sz val="10"/>
        <rFont val="Noto Sans CJK SC"/>
        <family val="2"/>
        <charset val="1"/>
      </rPr>
      <t xml:space="preserve">이차보전 </t>
    </r>
    <r>
      <rPr>
        <sz val="10"/>
        <rFont val="Cambria"/>
        <family val="1"/>
      </rPr>
      <t>4.5%p(</t>
    </r>
    <r>
      <rPr>
        <sz val="10"/>
        <rFont val="Noto Sans CJK SC"/>
        <family val="2"/>
        <charset val="1"/>
      </rPr>
      <t xml:space="preserve">성능개선 </t>
    </r>
    <r>
      <rPr>
        <sz val="10"/>
        <rFont val="Cambria"/>
        <family val="1"/>
      </rPr>
      <t>20~30%</t>
    </r>
    <r>
      <rPr>
        <sz val="10"/>
        <rFont val="Noto Sans CJK SC"/>
        <family val="2"/>
        <charset val="1"/>
      </rPr>
      <t>미만</t>
    </r>
    <r>
      <rPr>
        <sz val="10"/>
        <rFont val="Cambria"/>
        <family val="1"/>
      </rPr>
      <t>) ~ 5.5%p(30%</t>
    </r>
    <r>
      <rPr>
        <sz val="10"/>
        <rFont val="Noto Sans CJK SC"/>
        <family val="2"/>
        <charset val="1"/>
      </rPr>
      <t>이상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사회배려계층</t>
    </r>
    <r>
      <rPr>
        <sz val="10"/>
        <rFont val="Cambria"/>
        <family val="1"/>
      </rPr>
      <t xml:space="preserve">), </t>
    </r>
    <r>
      <rPr>
        <sz val="10"/>
        <rFont val="Noto Sans CJK SC"/>
        <family val="2"/>
        <charset val="1"/>
      </rPr>
      <t xml:space="preserve">카드이용시 </t>
    </r>
    <r>
      <rPr>
        <sz val="10"/>
        <rFont val="Cambria"/>
        <family val="1"/>
      </rPr>
      <t xml:space="preserve">4.5% </t>
    </r>
    <r>
      <rPr>
        <sz val="10"/>
        <rFont val="Noto Sans CJK SC"/>
        <family val="2"/>
        <charset val="1"/>
      </rPr>
      <t>고정</t>
    </r>
  </si>
  <si>
    <r>
      <rPr>
        <sz val="10"/>
        <rFont val="Noto Sans CJK SC"/>
        <family val="2"/>
        <charset val="1"/>
      </rPr>
      <t>외벽단열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고성능창호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고효율기기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냉난방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보일러</t>
    </r>
    <r>
      <rPr>
        <sz val="10"/>
        <rFont val="Cambria"/>
        <family val="1"/>
      </rPr>
      <t xml:space="preserve">·LED </t>
    </r>
    <r>
      <rPr>
        <sz val="10"/>
        <rFont val="Noto Sans CJK SC"/>
        <family val="2"/>
        <charset val="1"/>
      </rPr>
      <t xml:space="preserve">중 </t>
    </r>
    <r>
      <rPr>
        <sz val="10"/>
        <rFont val="Cambria"/>
        <family val="1"/>
      </rPr>
      <t>1</t>
    </r>
    <r>
      <rPr>
        <sz val="10"/>
        <rFont val="Noto Sans CJK SC"/>
        <family val="2"/>
        <charset val="1"/>
      </rPr>
      <t>건</t>
    </r>
    <r>
      <rPr>
        <sz val="10"/>
        <rFont val="Cambria"/>
        <family val="1"/>
      </rPr>
      <t>)·</t>
    </r>
    <r>
      <rPr>
        <sz val="10"/>
        <rFont val="Noto Sans CJK SC"/>
        <family val="2"/>
        <charset val="1"/>
      </rPr>
      <t xml:space="preserve">폐열회수환기장치 중 </t>
    </r>
    <r>
      <rPr>
        <sz val="10"/>
        <rFont val="Cambria"/>
        <family val="1"/>
      </rPr>
      <t>1</t>
    </r>
    <r>
      <rPr>
        <sz val="10"/>
        <rFont val="Noto Sans CJK SC"/>
        <family val="2"/>
        <charset val="1"/>
      </rPr>
      <t xml:space="preserve">개 이상 </t>
    </r>
    <r>
      <rPr>
        <sz val="10"/>
        <rFont val="Cambria"/>
        <family val="1"/>
      </rPr>
      <t xml:space="preserve">+ </t>
    </r>
    <r>
      <rPr>
        <sz val="10"/>
        <rFont val="Noto Sans CJK SC"/>
        <family val="2"/>
        <charset val="1"/>
      </rPr>
      <t xml:space="preserve">성능개선율 </t>
    </r>
    <r>
      <rPr>
        <sz val="10"/>
        <rFont val="Cambria"/>
        <family val="1"/>
      </rPr>
      <t>20%</t>
    </r>
    <r>
      <rPr>
        <sz val="10"/>
        <rFont val="Noto Sans CJK SC"/>
        <family val="2"/>
        <charset val="1"/>
      </rPr>
      <t>이상</t>
    </r>
  </si>
  <si>
    <r>
      <rPr>
        <sz val="10"/>
        <rFont val="Noto Sans CJK SC"/>
        <family val="2"/>
        <charset val="1"/>
      </rPr>
      <t>상시 접수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 xml:space="preserve">총예산 </t>
    </r>
    <r>
      <rPr>
        <sz val="10"/>
        <rFont val="Cambria"/>
        <family val="1"/>
      </rPr>
      <t>80</t>
    </r>
    <r>
      <rPr>
        <sz val="10"/>
        <rFont val="Noto Sans CJK SC"/>
        <family val="2"/>
        <charset val="1"/>
      </rPr>
      <t>억원 소진 시 종료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</si>
  <si>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등록 그린리모델링 사업자를 통해 신청</t>
    </r>
    <r>
      <rPr>
        <sz val="10"/>
        <rFont val="Cambria"/>
        <family val="1"/>
      </rPr>
      <t>, greenremodeling.or.kr</t>
    </r>
  </si>
  <si>
    <r>
      <rPr>
        <sz val="10"/>
        <rFont val="Noto Sans CJK SC"/>
        <family val="2"/>
        <charset val="1"/>
      </rPr>
      <t>진행중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예산 소진 여부 확인 필요</t>
    </r>
    <r>
      <rPr>
        <sz val="10"/>
        <rFont val="Cambria"/>
        <family val="1"/>
      </rPr>
      <t>)</t>
    </r>
  </si>
  <si>
    <t>https://www.greenremodeling.or.kr/include/filedown.asp?bid=notice&amp;nFileSeq=15536 ; https://www.greenremodeling.or.kr/n1/support/sup1000.asp</t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</si>
  <si>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 xml:space="preserve">년도 공공건축물 그린리모델링 지원사업 </t>
    </r>
    <r>
      <rPr>
        <sz val="10"/>
        <rFont val="Cambria"/>
        <family val="1"/>
      </rPr>
      <t>2.0</t>
    </r>
  </si>
  <si>
    <r>
      <rPr>
        <sz val="10"/>
        <rFont val="Noto Sans CJK SC"/>
        <family val="2"/>
        <charset val="1"/>
      </rPr>
      <t>국토교통부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녹색건축과</t>
    </r>
    <r>
      <rPr>
        <sz val="10"/>
        <rFont val="Cambria"/>
        <family val="1"/>
      </rPr>
      <t xml:space="preserve">) / </t>
    </r>
    <r>
      <rPr>
        <sz val="10"/>
        <rFont val="Noto Sans CJK SC"/>
        <family val="2"/>
        <charset val="1"/>
      </rPr>
      <t>국토안전관리원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위탁시행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</si>
  <si>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 xml:space="preserve">공공건축물 </t>
    </r>
    <r>
      <rPr>
        <sz val="10"/>
        <rFont val="Cambria"/>
        <family val="1"/>
      </rPr>
      <t>28</t>
    </r>
    <r>
      <rPr>
        <sz val="10"/>
        <rFont val="Noto Sans CJK SC"/>
        <family val="2"/>
        <charset val="1"/>
      </rPr>
      <t>종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도서관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경로당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복지시설 등</t>
    </r>
    <r>
      <rPr>
        <sz val="10"/>
        <rFont val="Cambria"/>
        <family val="1"/>
      </rPr>
      <t xml:space="preserve">), </t>
    </r>
    <r>
      <rPr>
        <sz val="10"/>
        <rFont val="Noto Sans CJK SC"/>
        <family val="2"/>
        <charset val="1"/>
      </rPr>
      <t xml:space="preserve">준공 </t>
    </r>
    <r>
      <rPr>
        <sz val="10"/>
        <rFont val="Cambria"/>
        <family val="1"/>
      </rPr>
      <t>10</t>
    </r>
    <r>
      <rPr>
        <sz val="10"/>
        <rFont val="Noto Sans CJK SC"/>
        <family val="2"/>
        <charset val="1"/>
      </rPr>
      <t>년이상</t>
    </r>
    <r>
      <rPr>
        <sz val="10"/>
        <rFont val="Cambria"/>
        <family val="1"/>
      </rPr>
      <t xml:space="preserve">(2016.1.1 </t>
    </r>
    <r>
      <rPr>
        <sz val="10"/>
        <rFont val="Noto Sans CJK SC"/>
        <family val="2"/>
        <charset val="1"/>
      </rPr>
      <t>이전</t>
    </r>
    <r>
      <rPr>
        <sz val="10"/>
        <rFont val="Cambria"/>
        <family val="1"/>
      </rPr>
      <t xml:space="preserve">), </t>
    </r>
    <r>
      <rPr>
        <sz val="10"/>
        <rFont val="Noto Sans CJK SC"/>
        <family val="2"/>
        <charset val="1"/>
      </rPr>
      <t xml:space="preserve">임차건축물 잔여기간 </t>
    </r>
    <r>
      <rPr>
        <sz val="10"/>
        <rFont val="Cambria"/>
        <family val="1"/>
      </rPr>
      <t>5</t>
    </r>
    <r>
      <rPr>
        <sz val="10"/>
        <rFont val="Noto Sans CJK SC"/>
        <family val="2"/>
        <charset val="1"/>
      </rPr>
      <t>년이상</t>
    </r>
  </si>
  <si>
    <r>
      <rPr>
        <sz val="10"/>
        <rFont val="Cambria"/>
        <family val="1"/>
      </rPr>
      <t>3.3</t>
    </r>
    <r>
      <rPr>
        <sz val="10"/>
        <rFont val="Noto Sans CJK SC"/>
        <family val="2"/>
        <charset val="1"/>
      </rPr>
      <t xml:space="preserve">㎡당 </t>
    </r>
    <r>
      <rPr>
        <sz val="10"/>
        <rFont val="Cambria"/>
        <family val="1"/>
      </rPr>
      <t>200~560</t>
    </r>
    <r>
      <rPr>
        <sz val="10"/>
        <rFont val="Noto Sans CJK SC"/>
        <family val="2"/>
        <charset val="1"/>
      </rPr>
      <t>만원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 xml:space="preserve">사업당 국비 최대 </t>
    </r>
    <r>
      <rPr>
        <sz val="10"/>
        <rFont val="Cambria"/>
        <family val="1"/>
      </rPr>
      <t>70</t>
    </r>
    <r>
      <rPr>
        <sz val="10"/>
        <rFont val="Noto Sans CJK SC"/>
        <family val="2"/>
        <charset val="1"/>
      </rPr>
      <t>억원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서울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중앙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 xml:space="preserve">공공 </t>
    </r>
    <r>
      <rPr>
        <sz val="10"/>
        <rFont val="Cambria"/>
        <family val="1"/>
      </rPr>
      <t>50</t>
    </r>
    <r>
      <rPr>
        <sz val="10"/>
        <rFont val="Noto Sans CJK SC"/>
        <family val="2"/>
        <charset val="1"/>
      </rPr>
      <t>억원</t>
    </r>
    <r>
      <rPr>
        <sz val="10"/>
        <rFont val="Cambria"/>
        <family val="1"/>
      </rPr>
      <t>)</t>
    </r>
  </si>
  <si>
    <r>
      <rPr>
        <sz val="10"/>
        <rFont val="Cambria"/>
        <family val="1"/>
      </rPr>
      <t>50%(</t>
    </r>
    <r>
      <rPr>
        <sz val="10"/>
        <rFont val="Noto Sans CJK SC"/>
        <family val="2"/>
        <charset val="1"/>
      </rPr>
      <t>서울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중앙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공공</t>
    </r>
    <r>
      <rPr>
        <sz val="10"/>
        <rFont val="Cambria"/>
        <family val="1"/>
      </rPr>
      <t>) / 70%(</t>
    </r>
    <r>
      <rPr>
        <sz val="10"/>
        <rFont val="Noto Sans CJK SC"/>
        <family val="2"/>
        <charset val="1"/>
      </rPr>
      <t>그 외 지자체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</si>
  <si>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 xml:space="preserve">총사업비 대비 에너지성능개선 </t>
    </r>
    <r>
      <rPr>
        <sz val="10"/>
        <rFont val="Cambria"/>
        <family val="1"/>
      </rPr>
      <t>40%</t>
    </r>
    <r>
      <rPr>
        <sz val="10"/>
        <rFont val="Noto Sans CJK SC"/>
        <family val="2"/>
        <charset val="1"/>
      </rPr>
      <t>이상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 xml:space="preserve">기후위기적응 </t>
    </r>
    <r>
      <rPr>
        <sz val="10"/>
        <rFont val="Cambria"/>
        <family val="1"/>
      </rPr>
      <t>30%</t>
    </r>
    <r>
      <rPr>
        <sz val="10"/>
        <rFont val="Noto Sans CJK SC"/>
        <family val="2"/>
        <charset val="1"/>
      </rPr>
      <t>이하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 xml:space="preserve">추가지원 </t>
    </r>
    <r>
      <rPr>
        <sz val="10"/>
        <rFont val="Cambria"/>
        <family val="1"/>
      </rPr>
      <t>30%</t>
    </r>
    <r>
      <rPr>
        <sz val="10"/>
        <rFont val="Noto Sans CJK SC"/>
        <family val="2"/>
        <charset val="1"/>
      </rPr>
      <t>이하 비율 요건</t>
    </r>
  </si>
  <si>
    <r>
      <rPr>
        <sz val="10"/>
        <rFont val="Cambria"/>
        <family val="1"/>
      </rPr>
      <t>2026.4.7~4.24(</t>
    </r>
    <r>
      <rPr>
        <sz val="10"/>
        <rFont val="Noto Sans CJK SC"/>
        <family val="2"/>
        <charset val="1"/>
      </rPr>
      <t>마감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종료</t>
    </r>
    <r>
      <rPr>
        <sz val="10"/>
        <rFont val="Cambria"/>
        <family val="1"/>
      </rPr>
      <t xml:space="preserve">) - </t>
    </r>
    <r>
      <rPr>
        <sz val="10"/>
        <rFont val="Noto Sans CJK SC"/>
        <family val="2"/>
        <charset val="1"/>
      </rPr>
      <t>연</t>
    </r>
    <r>
      <rPr>
        <sz val="10"/>
        <rFont val="Cambria"/>
        <family val="1"/>
      </rPr>
      <t>1</t>
    </r>
    <r>
      <rPr>
        <sz val="10"/>
        <rFont val="Noto Sans CJK SC"/>
        <family val="2"/>
        <charset val="1"/>
      </rPr>
      <t>회 공모</t>
    </r>
  </si>
  <si>
    <r>
      <rPr>
        <sz val="10"/>
        <rFont val="Cambria"/>
        <family val="1"/>
      </rPr>
      <t xml:space="preserve">greenremodeling.or.kr </t>
    </r>
    <r>
      <rPr>
        <sz val="10"/>
        <rFont val="Noto Sans CJK SC"/>
        <family val="2"/>
        <charset val="1"/>
      </rPr>
      <t>공모 접수</t>
    </r>
  </si>
  <si>
    <r>
      <rPr>
        <sz val="10"/>
        <rFont val="Noto Sans CJK SC"/>
        <family val="2"/>
        <charset val="1"/>
      </rPr>
      <t>종료</t>
    </r>
    <r>
      <rPr>
        <sz val="10"/>
        <rFont val="Cambria"/>
        <family val="1"/>
      </rPr>
      <t xml:space="preserve">(2026.6.3 </t>
    </r>
    <r>
      <rPr>
        <sz val="10"/>
        <rFont val="Noto Sans CJK SC"/>
        <family val="2"/>
        <charset val="1"/>
      </rPr>
      <t xml:space="preserve">전국 </t>
    </r>
    <r>
      <rPr>
        <sz val="10"/>
        <rFont val="Cambria"/>
        <family val="1"/>
      </rPr>
      <t>318</t>
    </r>
    <r>
      <rPr>
        <sz val="10"/>
        <rFont val="Noto Sans CJK SC"/>
        <family val="2"/>
        <charset val="1"/>
      </rPr>
      <t>동 선정 완료</t>
    </r>
    <r>
      <rPr>
        <sz val="10"/>
        <rFont val="Cambria"/>
        <family val="1"/>
      </rPr>
      <t>)</t>
    </r>
  </si>
  <si>
    <t>종료</t>
  </si>
  <si>
    <t>https://www.greenremodeling.or.kr/n1/business/bus1000.asp</t>
  </si>
  <si>
    <r>
      <rPr>
        <sz val="10"/>
        <rFont val="Noto Sans CJK SC"/>
        <family val="2"/>
        <charset val="1"/>
      </rPr>
      <t>경기도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광역</t>
    </r>
    <r>
      <rPr>
        <sz val="10"/>
        <rFont val="Cambria"/>
        <family val="1"/>
      </rPr>
      <t>)</t>
    </r>
  </si>
  <si>
    <t>경기도 주택 패시브 리모델링 지원사업</t>
  </si>
  <si>
    <r>
      <rPr>
        <sz val="10"/>
        <rFont val="Noto Sans CJK SC"/>
        <family val="2"/>
        <charset val="1"/>
      </rPr>
      <t xml:space="preserve">경기도 건축정책과 </t>
    </r>
    <r>
      <rPr>
        <sz val="10"/>
        <rFont val="Cambria"/>
        <family val="1"/>
      </rPr>
      <t>+ 13</t>
    </r>
    <r>
      <rPr>
        <sz val="10"/>
        <rFont val="Noto Sans CJK SC"/>
        <family val="2"/>
        <charset val="1"/>
      </rPr>
      <t>개 시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군 건축부서</t>
    </r>
  </si>
  <si>
    <r>
      <rPr>
        <sz val="10"/>
        <rFont val="Noto Sans CJK SC"/>
        <family val="2"/>
        <charset val="1"/>
      </rPr>
      <t xml:space="preserve">준공 </t>
    </r>
    <r>
      <rPr>
        <sz val="10"/>
        <rFont val="Cambria"/>
        <family val="1"/>
      </rPr>
      <t>10</t>
    </r>
    <r>
      <rPr>
        <sz val="10"/>
        <rFont val="Noto Sans CJK SC"/>
        <family val="2"/>
        <charset val="1"/>
      </rPr>
      <t>년이상 단독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다세대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연립 소유자</t>
    </r>
    <r>
      <rPr>
        <sz val="10"/>
        <rFont val="Cambria"/>
        <family val="1"/>
      </rPr>
      <t>, 2026</t>
    </r>
    <r>
      <rPr>
        <sz val="10"/>
        <rFont val="Noto Sans CJK SC"/>
        <family val="2"/>
        <charset val="1"/>
      </rPr>
      <t xml:space="preserve">년 </t>
    </r>
    <r>
      <rPr>
        <sz val="10"/>
        <rFont val="Cambria"/>
        <family val="1"/>
      </rPr>
      <t>13</t>
    </r>
    <r>
      <rPr>
        <sz val="10"/>
        <rFont val="Noto Sans CJK SC"/>
        <family val="2"/>
        <charset val="1"/>
      </rPr>
      <t xml:space="preserve">개 시군 </t>
    </r>
    <r>
      <rPr>
        <sz val="10"/>
        <rFont val="Cambria"/>
        <family val="1"/>
      </rPr>
      <t>85</t>
    </r>
    <r>
      <rPr>
        <sz val="10"/>
        <rFont val="Noto Sans CJK SC"/>
        <family val="2"/>
        <charset val="1"/>
      </rPr>
      <t>세대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용인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고양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평택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파주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김포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하남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광명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이천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구리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여주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과천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가평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연천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</si>
  <si>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 xml:space="preserve">세대당 최대 </t>
    </r>
    <r>
      <rPr>
        <sz val="10"/>
        <rFont val="Cambria"/>
        <family val="1"/>
      </rPr>
      <t>1,000</t>
    </r>
    <r>
      <rPr>
        <sz val="10"/>
        <rFont val="Noto Sans CJK SC"/>
        <family val="2"/>
        <charset val="1"/>
      </rPr>
      <t>만원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 xml:space="preserve">도비 </t>
    </r>
    <r>
      <rPr>
        <sz val="10"/>
        <rFont val="Cambria"/>
        <family val="1"/>
      </rPr>
      <t>50%+</t>
    </r>
    <r>
      <rPr>
        <sz val="10"/>
        <rFont val="Noto Sans CJK SC"/>
        <family val="2"/>
        <charset val="1"/>
      </rPr>
      <t xml:space="preserve">시군비 </t>
    </r>
    <r>
      <rPr>
        <sz val="10"/>
        <rFont val="Cambria"/>
        <family val="1"/>
      </rPr>
      <t>50%)</t>
    </r>
  </si>
  <si>
    <r>
      <rPr>
        <sz val="10"/>
        <rFont val="Noto Sans CJK SC"/>
        <family val="2"/>
        <charset val="1"/>
      </rPr>
      <t xml:space="preserve">순공사비의 </t>
    </r>
    <r>
      <rPr>
        <sz val="10"/>
        <rFont val="Cambria"/>
        <family val="1"/>
      </rPr>
      <t>90%(</t>
    </r>
    <r>
      <rPr>
        <sz val="10"/>
        <rFont val="Noto Sans CJK SC"/>
        <family val="2"/>
        <charset val="1"/>
      </rPr>
      <t>구리시 기준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 xml:space="preserve">광명시는 자부담 </t>
    </r>
    <r>
      <rPr>
        <sz val="10"/>
        <rFont val="Cambria"/>
        <family val="1"/>
      </rPr>
      <t>50%</t>
    </r>
    <r>
      <rPr>
        <sz val="10"/>
        <rFont val="Noto Sans CJK SC"/>
        <family val="2"/>
        <charset val="1"/>
      </rPr>
      <t>로 안내해 시군별 상이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</si>
  <si>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 xml:space="preserve">고기밀 단열보강 또는 창호 교체 중 </t>
    </r>
    <r>
      <rPr>
        <sz val="10"/>
        <rFont val="Cambria"/>
        <family val="1"/>
      </rPr>
      <t>1</t>
    </r>
    <r>
      <rPr>
        <sz val="10"/>
        <rFont val="Noto Sans CJK SC"/>
        <family val="2"/>
        <charset val="1"/>
      </rPr>
      <t>개 이상 필수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사전컨설팅 및 사후 효과분석 수반</t>
    </r>
  </si>
  <si>
    <r>
      <rPr>
        <sz val="10"/>
        <rFont val="Noto Sans CJK SC"/>
        <family val="2"/>
        <charset val="1"/>
      </rPr>
      <t>시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군별 공고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 xml:space="preserve">통상 </t>
    </r>
    <r>
      <rPr>
        <sz val="10"/>
        <rFont val="Cambria"/>
        <family val="1"/>
      </rPr>
      <t>1</t>
    </r>
    <r>
      <rPr>
        <sz val="10"/>
        <rFont val="Noto Sans CJK SC"/>
        <family val="2"/>
        <charset val="1"/>
      </rPr>
      <t>월</t>
    </r>
    <r>
      <rPr>
        <sz val="10"/>
        <rFont val="Cambria"/>
        <family val="1"/>
      </rPr>
      <t xml:space="preserve">) </t>
    </r>
    <r>
      <rPr>
        <sz val="10"/>
        <rFont val="Noto Sans CJK SC"/>
        <family val="2"/>
        <charset val="1"/>
      </rPr>
      <t>예</t>
    </r>
    <r>
      <rPr>
        <sz val="10"/>
        <rFont val="Cambria"/>
        <family val="1"/>
      </rPr>
      <t xml:space="preserve">: </t>
    </r>
    <r>
      <rPr>
        <sz val="10"/>
        <rFont val="Noto Sans CJK SC"/>
        <family val="2"/>
        <charset val="1"/>
      </rPr>
      <t xml:space="preserve">구리시 </t>
    </r>
    <r>
      <rPr>
        <sz val="10"/>
        <rFont val="Cambria"/>
        <family val="1"/>
      </rPr>
      <t>2026.1.16~1.30</t>
    </r>
  </si>
  <si>
    <r>
      <rPr>
        <sz val="10"/>
        <rFont val="Noto Sans CJK SC"/>
        <family val="2"/>
        <charset val="1"/>
      </rPr>
      <t>해당 시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군 건축부서 방문접수 예</t>
    </r>
    <r>
      <rPr>
        <sz val="10"/>
        <rFont val="Cambria"/>
        <family val="1"/>
      </rPr>
      <t xml:space="preserve">: </t>
    </r>
    <r>
      <rPr>
        <sz val="10"/>
        <rFont val="Noto Sans CJK SC"/>
        <family val="2"/>
        <charset val="1"/>
      </rPr>
      <t>구리시청 건축과 ☎</t>
    </r>
    <r>
      <rPr>
        <sz val="10"/>
        <rFont val="Cambria"/>
        <family val="1"/>
      </rPr>
      <t>031-550-2391</t>
    </r>
  </si>
  <si>
    <r>
      <rPr>
        <sz val="10"/>
        <rFont val="Noto Sans CJK SC"/>
        <family val="2"/>
        <charset val="1"/>
      </rPr>
      <t>종료</t>
    </r>
    <r>
      <rPr>
        <sz val="10"/>
        <rFont val="Cambria"/>
        <family val="1"/>
      </rPr>
      <t>(1</t>
    </r>
    <r>
      <rPr>
        <sz val="10"/>
        <rFont val="Noto Sans CJK SC"/>
        <family val="2"/>
        <charset val="1"/>
      </rPr>
      <t>월 마감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 xml:space="preserve">물량 </t>
    </r>
    <r>
      <rPr>
        <sz val="10"/>
        <rFont val="Cambria"/>
        <family val="1"/>
      </rPr>
      <t>85</t>
    </r>
    <r>
      <rPr>
        <sz val="10"/>
        <rFont val="Noto Sans CJK SC"/>
        <family val="2"/>
        <charset val="1"/>
      </rPr>
      <t>세대로 매우 제한적</t>
    </r>
    <r>
      <rPr>
        <sz val="10"/>
        <rFont val="Cambria"/>
        <family val="1"/>
      </rPr>
      <t>)</t>
    </r>
  </si>
  <si>
    <t>https://gnews.gg.go.kr/briefing/brief_gongbo_view.do?BS_CODE=s017&amp;number=68930 ; https://www.guri.go.kr/www/selectGosiNttView.do?key=387&amp;searchGosiSe=01,02,04,06&amp;gosiNttNo=46863</t>
  </si>
  <si>
    <t>경기도 햇살하우징</t>
  </si>
  <si>
    <r>
      <rPr>
        <sz val="10"/>
        <rFont val="Noto Sans CJK SC"/>
        <family val="2"/>
        <charset val="1"/>
      </rPr>
      <t>경기도 주택정책과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사업주체</t>
    </r>
    <r>
      <rPr>
        <sz val="10"/>
        <rFont val="Cambria"/>
        <family val="1"/>
      </rPr>
      <t xml:space="preserve">) / </t>
    </r>
    <r>
      <rPr>
        <sz val="10"/>
        <rFont val="Noto Sans CJK SC"/>
        <family val="2"/>
        <charset val="1"/>
      </rPr>
      <t xml:space="preserve">경기주택도시공사 </t>
    </r>
    <r>
      <rPr>
        <sz val="10"/>
        <rFont val="Cambria"/>
        <family val="1"/>
      </rPr>
      <t>GH(</t>
    </r>
    <r>
      <rPr>
        <sz val="10"/>
        <rFont val="Noto Sans CJK SC"/>
        <family val="2"/>
        <charset val="1"/>
      </rPr>
      <t>시행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</si>
  <si>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 xml:space="preserve">경기도 거주 중위소득 </t>
    </r>
    <r>
      <rPr>
        <sz val="10"/>
        <rFont val="Cambria"/>
        <family val="1"/>
      </rPr>
      <t>50%</t>
    </r>
    <r>
      <rPr>
        <sz val="10"/>
        <rFont val="Noto Sans CJK SC"/>
        <family val="2"/>
        <charset val="1"/>
      </rPr>
      <t>이하 가구</t>
    </r>
    <r>
      <rPr>
        <sz val="10"/>
        <rFont val="Cambria"/>
        <family val="1"/>
      </rPr>
      <t>(4</t>
    </r>
    <r>
      <rPr>
        <sz val="10"/>
        <rFont val="Noto Sans CJK SC"/>
        <family val="2"/>
        <charset val="1"/>
      </rPr>
      <t xml:space="preserve">인 </t>
    </r>
    <r>
      <rPr>
        <sz val="10"/>
        <rFont val="Cambria"/>
        <family val="1"/>
      </rPr>
      <t>3,048,887</t>
    </r>
    <r>
      <rPr>
        <sz val="10"/>
        <rFont val="Noto Sans CJK SC"/>
        <family val="2"/>
        <charset val="1"/>
      </rPr>
      <t>원</t>
    </r>
    <r>
      <rPr>
        <sz val="10"/>
        <rFont val="Cambria"/>
        <family val="1"/>
      </rPr>
      <t>/</t>
    </r>
    <r>
      <rPr>
        <sz val="10"/>
        <rFont val="Noto Sans CJK SC"/>
        <family val="2"/>
        <charset val="1"/>
      </rPr>
      <t>월</t>
    </r>
    <r>
      <rPr>
        <sz val="10"/>
        <rFont val="Cambria"/>
        <family val="1"/>
      </rPr>
      <t xml:space="preserve">), </t>
    </r>
    <r>
      <rPr>
        <sz val="10"/>
        <rFont val="Noto Sans CJK SC"/>
        <family val="2"/>
        <charset val="1"/>
      </rPr>
      <t>집주인 동의 필수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기수혜자 등 제외</t>
    </r>
  </si>
  <si>
    <r>
      <rPr>
        <sz val="10"/>
        <rFont val="Noto Sans CJK SC"/>
        <family val="2"/>
        <charset val="1"/>
      </rPr>
      <t xml:space="preserve">가구당 </t>
    </r>
    <r>
      <rPr>
        <sz val="10"/>
        <rFont val="Cambria"/>
        <family val="1"/>
      </rPr>
      <t>500</t>
    </r>
    <r>
      <rPr>
        <sz val="10"/>
        <rFont val="Noto Sans CJK SC"/>
        <family val="2"/>
        <charset val="1"/>
      </rPr>
      <t>만원 이내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인건비 등 포함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</si>
  <si>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명시 없음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무상 시공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국비</t>
    </r>
    <r>
      <rPr>
        <sz val="10"/>
        <rFont val="Cambria"/>
        <family val="1"/>
      </rPr>
      <t>/</t>
    </r>
    <r>
      <rPr>
        <sz val="10"/>
        <rFont val="Noto Sans CJK SC"/>
        <family val="2"/>
        <charset val="1"/>
      </rPr>
      <t>도비 분담률 원문 미기재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</si>
  <si>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기밀성 창호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문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벽체 단열보강</t>
    </r>
    <r>
      <rPr>
        <sz val="10"/>
        <rFont val="Cambria"/>
        <family val="1"/>
      </rPr>
      <t xml:space="preserve">, LED, </t>
    </r>
    <r>
      <rPr>
        <sz val="10"/>
        <rFont val="Noto Sans CJK SC"/>
        <family val="2"/>
        <charset val="1"/>
      </rPr>
      <t>보일러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에어컨 교체 등 진단 후 항목 확정</t>
    </r>
  </si>
  <si>
    <r>
      <rPr>
        <sz val="10"/>
        <rFont val="Noto Sans CJK SC"/>
        <family val="2"/>
        <charset val="1"/>
      </rPr>
      <t>시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군별 연초 모집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예</t>
    </r>
    <r>
      <rPr>
        <sz val="10"/>
        <rFont val="Cambria"/>
        <family val="1"/>
      </rPr>
      <t xml:space="preserve">: </t>
    </r>
    <r>
      <rPr>
        <sz val="10"/>
        <rFont val="Noto Sans CJK SC"/>
        <family val="2"/>
        <charset val="1"/>
      </rPr>
      <t xml:space="preserve">안산 </t>
    </r>
    <r>
      <rPr>
        <sz val="10"/>
        <rFont val="Cambria"/>
        <family val="1"/>
      </rPr>
      <t>2026.1.16~2.25)</t>
    </r>
  </si>
  <si>
    <r>
      <rPr>
        <sz val="10"/>
        <rFont val="Noto Sans CJK SC"/>
        <family val="2"/>
        <charset val="1"/>
      </rPr>
      <t>주소지 읍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면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동 행정복지센터 방문접수</t>
    </r>
  </si>
  <si>
    <r>
      <rPr>
        <sz val="10"/>
        <rFont val="Noto Sans CJK SC"/>
        <family val="2"/>
        <charset val="1"/>
      </rPr>
      <t>종료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 xml:space="preserve">대부분 </t>
    </r>
    <r>
      <rPr>
        <sz val="10"/>
        <rFont val="Cambria"/>
        <family val="1"/>
      </rPr>
      <t>1~2</t>
    </r>
    <r>
      <rPr>
        <sz val="10"/>
        <rFont val="Noto Sans CJK SC"/>
        <family val="2"/>
        <charset val="1"/>
      </rPr>
      <t>월 마감</t>
    </r>
    <r>
      <rPr>
        <sz val="10"/>
        <rFont val="Cambria"/>
        <family val="1"/>
      </rPr>
      <t>)</t>
    </r>
  </si>
  <si>
    <t>https://housing.gg.go.kr/html/24302.do ; https://min24.energy.or.kr/consult/info/view3_3.do</t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</si>
  <si>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>년 저소득층 에너지효율개선사업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난방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냉방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</si>
  <si>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한국에너지재단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기후에너지환경부 소관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국고보조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</si>
  <si>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국민기초생활수급가구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차상위계층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지자체 추천 복지사각지대 가구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사회복지시설</t>
    </r>
  </si>
  <si>
    <r>
      <rPr>
        <sz val="10"/>
        <rFont val="Noto Sans CJK SC"/>
        <family val="2"/>
        <charset val="1"/>
      </rPr>
      <t xml:space="preserve">난방 가구당 평균 </t>
    </r>
    <r>
      <rPr>
        <sz val="10"/>
        <rFont val="Cambria"/>
        <family val="1"/>
      </rPr>
      <t>243</t>
    </r>
    <r>
      <rPr>
        <sz val="10"/>
        <rFont val="Noto Sans CJK SC"/>
        <family val="2"/>
        <charset val="1"/>
      </rPr>
      <t>만원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 xml:space="preserve">최대 </t>
    </r>
    <r>
      <rPr>
        <sz val="10"/>
        <rFont val="Cambria"/>
        <family val="1"/>
      </rPr>
      <t>330</t>
    </r>
    <r>
      <rPr>
        <sz val="10"/>
        <rFont val="Noto Sans CJK SC"/>
        <family val="2"/>
        <charset val="1"/>
      </rPr>
      <t>만원</t>
    </r>
    <r>
      <rPr>
        <sz val="10"/>
        <rFont val="Cambria"/>
        <family val="1"/>
      </rPr>
      <t xml:space="preserve">) / </t>
    </r>
    <r>
      <rPr>
        <sz val="10"/>
        <rFont val="Noto Sans CJK SC"/>
        <family val="2"/>
        <charset val="1"/>
      </rPr>
      <t xml:space="preserve">사회복지시설 </t>
    </r>
    <r>
      <rPr>
        <sz val="10"/>
        <rFont val="Cambria"/>
        <family val="1"/>
      </rPr>
      <t>1,100</t>
    </r>
    <r>
      <rPr>
        <sz val="10"/>
        <rFont val="Noto Sans CJK SC"/>
        <family val="2"/>
        <charset val="1"/>
      </rPr>
      <t xml:space="preserve">만원 </t>
    </r>
    <r>
      <rPr>
        <sz val="10"/>
        <rFont val="Cambria"/>
        <family val="1"/>
      </rPr>
      <t xml:space="preserve">/ </t>
    </r>
    <r>
      <rPr>
        <sz val="10"/>
        <rFont val="Noto Sans CJK SC"/>
        <family val="2"/>
        <charset val="1"/>
      </rPr>
      <t xml:space="preserve">냉방 평균 약 </t>
    </r>
    <r>
      <rPr>
        <sz val="10"/>
        <rFont val="Cambria"/>
        <family val="1"/>
      </rPr>
      <t>72</t>
    </r>
    <r>
      <rPr>
        <sz val="10"/>
        <rFont val="Noto Sans CJK SC"/>
        <family val="2"/>
        <charset val="1"/>
      </rPr>
      <t>만원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 xml:space="preserve">벽걸이에어컨 </t>
    </r>
    <r>
      <rPr>
        <sz val="10"/>
        <rFont val="Cambria"/>
        <family val="1"/>
      </rPr>
      <t>1</t>
    </r>
    <r>
      <rPr>
        <sz val="10"/>
        <rFont val="Noto Sans CJK SC"/>
        <family val="2"/>
        <charset val="1"/>
      </rPr>
      <t>대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</si>
  <si>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 xml:space="preserve">국고보조 </t>
    </r>
    <r>
      <rPr>
        <sz val="10"/>
        <rFont val="Cambria"/>
        <family val="1"/>
      </rPr>
      <t xml:space="preserve">100%, </t>
    </r>
    <r>
      <rPr>
        <sz val="10"/>
        <rFont val="Noto Sans CJK SC"/>
        <family val="2"/>
        <charset val="1"/>
      </rPr>
      <t>수혜가구 자부담 없음</t>
    </r>
  </si>
  <si>
    <r>
      <rPr>
        <sz val="10"/>
        <rFont val="Noto Sans CJK SC"/>
        <family val="2"/>
        <charset val="1"/>
      </rPr>
      <t>난방</t>
    </r>
    <r>
      <rPr>
        <sz val="10"/>
        <rFont val="Cambria"/>
        <family val="1"/>
      </rPr>
      <t xml:space="preserve">: </t>
    </r>
    <r>
      <rPr>
        <sz val="10"/>
        <rFont val="Noto Sans CJK SC"/>
        <family val="2"/>
        <charset val="1"/>
      </rPr>
      <t>벽체단열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창호교체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바닥공사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 xml:space="preserve">보일러 교체 </t>
    </r>
    <r>
      <rPr>
        <sz val="10"/>
        <rFont val="Cambria"/>
        <family val="1"/>
      </rPr>
      <t xml:space="preserve">/ </t>
    </r>
    <r>
      <rPr>
        <sz val="10"/>
        <rFont val="Noto Sans CJK SC"/>
        <family val="2"/>
        <charset val="1"/>
      </rPr>
      <t>냉방</t>
    </r>
    <r>
      <rPr>
        <sz val="10"/>
        <rFont val="Cambria"/>
        <family val="1"/>
      </rPr>
      <t xml:space="preserve">: </t>
    </r>
    <r>
      <rPr>
        <sz val="10"/>
        <rFont val="Noto Sans CJK SC"/>
        <family val="2"/>
        <charset val="1"/>
      </rPr>
      <t>벽걸이 에어컨 설치</t>
    </r>
  </si>
  <si>
    <r>
      <rPr>
        <sz val="10"/>
        <rFont val="Noto Sans CJK SC"/>
        <family val="2"/>
        <charset val="1"/>
      </rPr>
      <t xml:space="preserve">냉방 접수 </t>
    </r>
    <r>
      <rPr>
        <sz val="10"/>
        <rFont val="Cambria"/>
        <family val="1"/>
      </rPr>
      <t>2026.3.3~3.27(</t>
    </r>
    <r>
      <rPr>
        <sz val="10"/>
        <rFont val="Noto Sans CJK SC"/>
        <family val="2"/>
        <charset val="1"/>
      </rPr>
      <t>마감</t>
    </r>
    <r>
      <rPr>
        <sz val="10"/>
        <rFont val="Cambria"/>
        <family val="1"/>
      </rPr>
      <t xml:space="preserve">) / </t>
    </r>
    <r>
      <rPr>
        <sz val="10"/>
        <rFont val="Noto Sans CJK SC"/>
        <family val="2"/>
        <charset val="1"/>
      </rPr>
      <t xml:space="preserve">난방 </t>
    </r>
    <r>
      <rPr>
        <sz val="10"/>
        <rFont val="Cambria"/>
        <family val="1"/>
      </rPr>
      <t>2026.3.3~</t>
    </r>
    <r>
      <rPr>
        <sz val="10"/>
        <rFont val="Noto Sans CJK SC"/>
        <family val="2"/>
        <charset val="1"/>
      </rPr>
      <t>예산 소진 시까지 상시</t>
    </r>
  </si>
  <si>
    <r>
      <rPr>
        <sz val="10"/>
        <rFont val="Noto Sans CJK SC"/>
        <family val="2"/>
        <charset val="1"/>
      </rPr>
      <t>주소지 읍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면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동 행정복지센터 방문 신청</t>
    </r>
  </si>
  <si>
    <r>
      <rPr>
        <sz val="10"/>
        <rFont val="Noto Sans CJK SC"/>
        <family val="2"/>
        <charset val="1"/>
      </rPr>
      <t>난방 진행 가능성 있음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 xml:space="preserve">잔여예산 콜센터 </t>
    </r>
    <r>
      <rPr>
        <sz val="10"/>
        <rFont val="Cambria"/>
        <family val="1"/>
      </rPr>
      <t xml:space="preserve">1670-7653 </t>
    </r>
    <r>
      <rPr>
        <sz val="10"/>
        <rFont val="Noto Sans CJK SC"/>
        <family val="2"/>
        <charset val="1"/>
      </rPr>
      <t>확인 필요</t>
    </r>
    <r>
      <rPr>
        <sz val="10"/>
        <rFont val="Cambria"/>
        <family val="1"/>
      </rPr>
      <t xml:space="preserve">), </t>
    </r>
    <r>
      <rPr>
        <sz val="10"/>
        <rFont val="Noto Sans CJK SC"/>
        <family val="2"/>
        <charset val="1"/>
      </rPr>
      <t>냉방 종료</t>
    </r>
  </si>
  <si>
    <t>https://www.e-policy.or.kr/web/lay1/program/S1T9C14/curation/view.do?cr_seq=109 ; https://min24.energy.or.kr/greenhome/contents/view004_02_01.do</t>
  </si>
  <si>
    <t>한국에너지공단 에너지이용합리화자금 융자사업</t>
  </si>
  <si>
    <r>
      <rPr>
        <sz val="10"/>
        <rFont val="Noto Sans CJK SC"/>
        <family val="2"/>
        <charset val="1"/>
      </rPr>
      <t>한국에너지공단 자금융자실</t>
    </r>
    <r>
      <rPr>
        <sz val="10"/>
        <rFont val="Cambria"/>
        <family val="1"/>
      </rPr>
      <t xml:space="preserve">(☎052-920-0492~6), </t>
    </r>
    <r>
      <rPr>
        <sz val="10"/>
        <rFont val="Noto Sans CJK SC"/>
        <family val="2"/>
        <charset val="1"/>
      </rPr>
      <t>산업통상자원부 공고</t>
    </r>
  </si>
  <si>
    <r>
      <rPr>
        <sz val="10"/>
        <rFont val="Noto Sans CJK SC"/>
        <family val="2"/>
        <charset val="1"/>
      </rPr>
      <t>보일러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요로설비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폐열이용설비 등 설치자</t>
    </r>
    <r>
      <rPr>
        <sz val="10"/>
        <rFont val="Cambria"/>
        <family val="1"/>
      </rPr>
      <t xml:space="preserve">, ESCO </t>
    </r>
    <r>
      <rPr>
        <sz val="10"/>
        <rFont val="Noto Sans CJK SC"/>
        <family val="2"/>
        <charset val="1"/>
      </rPr>
      <t>성과보증계약 사업자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건물 소유자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세입자</t>
    </r>
  </si>
  <si>
    <r>
      <rPr>
        <sz val="10"/>
        <rFont val="Noto Sans CJK SC"/>
        <family val="2"/>
        <charset val="1"/>
      </rPr>
      <t xml:space="preserve">동일 투자사업장당 최대 </t>
    </r>
    <r>
      <rPr>
        <sz val="10"/>
        <rFont val="Cambria"/>
        <family val="1"/>
      </rPr>
      <t>300</t>
    </r>
    <r>
      <rPr>
        <sz val="10"/>
        <rFont val="Noto Sans CJK SC"/>
        <family val="2"/>
        <charset val="1"/>
      </rPr>
      <t>억원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생산시설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 xml:space="preserve">열수송시설은 </t>
    </r>
    <r>
      <rPr>
        <sz val="10"/>
        <rFont val="Cambria"/>
        <family val="1"/>
      </rPr>
      <t>50</t>
    </r>
    <r>
      <rPr>
        <sz val="10"/>
        <rFont val="Noto Sans CJK SC"/>
        <family val="2"/>
        <charset val="1"/>
      </rPr>
      <t>억원 이내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</si>
  <si>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 xml:space="preserve">소요자금의 </t>
    </r>
    <r>
      <rPr>
        <sz val="10"/>
        <rFont val="Cambria"/>
        <family val="1"/>
      </rPr>
      <t>70%</t>
    </r>
    <r>
      <rPr>
        <sz val="10"/>
        <rFont val="Noto Sans CJK SC"/>
        <family val="2"/>
        <charset val="1"/>
      </rPr>
      <t>이내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 xml:space="preserve">중소기업 </t>
    </r>
    <r>
      <rPr>
        <sz val="10"/>
        <rFont val="Cambria"/>
        <family val="1"/>
      </rPr>
      <t>90%</t>
    </r>
    <r>
      <rPr>
        <sz val="10"/>
        <rFont val="Noto Sans CJK SC"/>
        <family val="2"/>
        <charset val="1"/>
      </rPr>
      <t>이내</t>
    </r>
    <r>
      <rPr>
        <sz val="10"/>
        <rFont val="Cambria"/>
        <family val="1"/>
      </rPr>
      <t>, ESCO</t>
    </r>
    <r>
      <rPr>
        <sz val="10"/>
        <rFont val="Noto Sans CJK SC"/>
        <family val="2"/>
        <charset val="1"/>
      </rPr>
      <t>투자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 xml:space="preserve">열수송개체사업 </t>
    </r>
    <r>
      <rPr>
        <sz val="10"/>
        <rFont val="Cambria"/>
        <family val="1"/>
      </rPr>
      <t>100%</t>
    </r>
    <r>
      <rPr>
        <sz val="10"/>
        <rFont val="Noto Sans CJK SC"/>
        <family val="2"/>
        <charset val="1"/>
      </rPr>
      <t>이내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</si>
  <si>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 xml:space="preserve">에너지진단 결과 절감효과 </t>
    </r>
    <r>
      <rPr>
        <sz val="10"/>
        <rFont val="Cambria"/>
        <family val="1"/>
      </rPr>
      <t>5%</t>
    </r>
    <r>
      <rPr>
        <sz val="10"/>
        <rFont val="Noto Sans CJK SC"/>
        <family val="2"/>
        <charset val="1"/>
      </rPr>
      <t>이상</t>
    </r>
    <r>
      <rPr>
        <sz val="10"/>
        <rFont val="Cambria"/>
        <family val="1"/>
      </rPr>
      <t>(ESCO</t>
    </r>
    <r>
      <rPr>
        <sz val="10"/>
        <rFont val="Noto Sans CJK SC"/>
        <family val="2"/>
        <charset val="1"/>
      </rPr>
      <t>투자사업</t>
    </r>
    <r>
      <rPr>
        <sz val="10"/>
        <rFont val="Cambria"/>
        <family val="1"/>
      </rPr>
      <t xml:space="preserve">), </t>
    </r>
    <r>
      <rPr>
        <sz val="10"/>
        <rFont val="Noto Sans CJK SC"/>
        <family val="2"/>
        <charset val="1"/>
      </rPr>
      <t>지침 별표</t>
    </r>
    <r>
      <rPr>
        <sz val="10"/>
        <rFont val="Cambria"/>
        <family val="1"/>
      </rPr>
      <t xml:space="preserve">1 </t>
    </r>
    <r>
      <rPr>
        <sz val="10"/>
        <rFont val="Noto Sans CJK SC"/>
        <family val="2"/>
        <charset val="1"/>
      </rPr>
      <t>대상설비</t>
    </r>
  </si>
  <si>
    <r>
      <rPr>
        <sz val="10"/>
        <rFont val="Noto Sans CJK SC"/>
        <family val="2"/>
        <charset val="1"/>
      </rPr>
      <t xml:space="preserve">매월 </t>
    </r>
    <r>
      <rPr>
        <sz val="10"/>
        <rFont val="Cambria"/>
        <family val="1"/>
      </rPr>
      <t>1~7</t>
    </r>
    <r>
      <rPr>
        <sz val="10"/>
        <rFont val="Noto Sans CJK SC"/>
        <family val="2"/>
        <charset val="1"/>
      </rPr>
      <t>일 접수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연중 상시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</si>
  <si>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한국에너지공단 자금융자실</t>
    </r>
    <r>
      <rPr>
        <sz val="10"/>
        <rFont val="Cambria"/>
        <family val="1"/>
      </rPr>
      <t>/</t>
    </r>
    <r>
      <rPr>
        <sz val="10"/>
        <rFont val="Noto Sans CJK SC"/>
        <family val="2"/>
        <charset val="1"/>
      </rPr>
      <t>자금융자처</t>
    </r>
  </si>
  <si>
    <t>상시 진행중</t>
  </si>
  <si>
    <t>https://www.energy.or.kr/front/conts/105002001023000.do</t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</si>
  <si>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>년 건물에너지효율화</t>
    </r>
    <r>
      <rPr>
        <sz val="10"/>
        <rFont val="Cambria"/>
        <family val="1"/>
      </rPr>
      <t xml:space="preserve">(BRP) </t>
    </r>
    <r>
      <rPr>
        <sz val="10"/>
        <rFont val="Noto Sans CJK SC"/>
        <family val="2"/>
        <charset val="1"/>
      </rPr>
      <t>융자지원사업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건물부문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</si>
  <si>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서울특별시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저탄소건물지원센터 ☎</t>
    </r>
    <r>
      <rPr>
        <sz val="10"/>
        <rFont val="Cambria"/>
        <family val="1"/>
      </rPr>
      <t>02-2133-9700)</t>
    </r>
  </si>
  <si>
    <r>
      <rPr>
        <sz val="10"/>
        <rFont val="Noto Sans CJK SC"/>
        <family val="2"/>
        <charset val="1"/>
      </rPr>
      <t xml:space="preserve">사용승인 </t>
    </r>
    <r>
      <rPr>
        <sz val="10"/>
        <rFont val="Cambria"/>
        <family val="1"/>
      </rPr>
      <t>15</t>
    </r>
    <r>
      <rPr>
        <sz val="10"/>
        <rFont val="Noto Sans CJK SC"/>
        <family val="2"/>
        <charset val="1"/>
      </rPr>
      <t>년이상 경과 서울 소재 건물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주거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비주거</t>
    </r>
    <r>
      <rPr>
        <sz val="10"/>
        <rFont val="Cambria"/>
        <family val="1"/>
      </rPr>
      <t xml:space="preserve">), </t>
    </r>
    <r>
      <rPr>
        <sz val="10"/>
        <rFont val="Noto Sans CJK SC"/>
        <family val="2"/>
        <charset val="1"/>
      </rPr>
      <t>성능개선 공사 계획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진행 중인 건물</t>
    </r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</si>
  <si>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 xml:space="preserve">년 건물부문 총 </t>
    </r>
    <r>
      <rPr>
        <sz val="10"/>
        <rFont val="Cambria"/>
        <family val="1"/>
      </rPr>
      <t>50</t>
    </r>
    <r>
      <rPr>
        <sz val="10"/>
        <rFont val="Noto Sans CJK SC"/>
        <family val="2"/>
        <charset val="1"/>
      </rPr>
      <t>억원 규모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 xml:space="preserve">신재생에너지 설비는 공사비 </t>
    </r>
    <r>
      <rPr>
        <sz val="10"/>
        <rFont val="Cambria"/>
        <family val="1"/>
      </rPr>
      <t>80%</t>
    </r>
    <r>
      <rPr>
        <sz val="10"/>
        <rFont val="Noto Sans CJK SC"/>
        <family val="2"/>
        <charset val="1"/>
      </rPr>
      <t>이내</t>
    </r>
  </si>
  <si>
    <r>
      <rPr>
        <sz val="10"/>
        <rFont val="Noto Sans CJK SC"/>
        <family val="2"/>
        <charset val="1"/>
      </rPr>
      <t xml:space="preserve">연 </t>
    </r>
    <r>
      <rPr>
        <sz val="10"/>
        <rFont val="Cambria"/>
        <family val="1"/>
      </rPr>
      <t xml:space="preserve">0.8% </t>
    </r>
    <r>
      <rPr>
        <sz val="10"/>
        <rFont val="Noto Sans CJK SC"/>
        <family val="2"/>
        <charset val="1"/>
      </rPr>
      <t>장기저리 융자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 xml:space="preserve">성능개선 공사비 </t>
    </r>
    <r>
      <rPr>
        <sz val="10"/>
        <rFont val="Cambria"/>
        <family val="1"/>
      </rPr>
      <t>100%</t>
    </r>
    <r>
      <rPr>
        <sz val="10"/>
        <rFont val="Noto Sans CJK SC"/>
        <family val="2"/>
        <charset val="1"/>
      </rPr>
      <t>이내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 xml:space="preserve">신재생 </t>
    </r>
    <r>
      <rPr>
        <sz val="10"/>
        <rFont val="Cambria"/>
        <family val="1"/>
      </rPr>
      <t>80%</t>
    </r>
    <r>
      <rPr>
        <sz val="10"/>
        <rFont val="Noto Sans CJK SC"/>
        <family val="2"/>
        <charset val="1"/>
      </rPr>
      <t>이내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</si>
  <si>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단열창호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단열덧창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내외벽단열재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고효율 냉온수기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냉동기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펌프 등 설치</t>
    </r>
  </si>
  <si>
    <t>2026.2.2~11.13</t>
  </si>
  <si>
    <r>
      <rPr>
        <sz val="10"/>
        <rFont val="Noto Sans CJK SC"/>
        <family val="2"/>
        <charset val="1"/>
      </rPr>
      <t>서울시 저탄소건물지원센터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온라인 신청 가능</t>
    </r>
  </si>
  <si>
    <r>
      <rPr>
        <sz val="10"/>
        <rFont val="Noto Sans CJK SC"/>
        <family val="2"/>
        <charset val="1"/>
      </rPr>
      <t>진행중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예산 소진 시 조기마감</t>
    </r>
    <r>
      <rPr>
        <sz val="10"/>
        <rFont val="Cambria"/>
        <family val="1"/>
      </rPr>
      <t>)</t>
    </r>
  </si>
  <si>
    <t>https://www.esco.or.kr/notice/notice?bc_seq=1&amp;method=view&amp;b_seq=6981</t>
  </si>
  <si>
    <t>노후 공공임대주택 그린리모델링 사업</t>
  </si>
  <si>
    <r>
      <rPr>
        <sz val="10"/>
        <rFont val="Noto Sans CJK SC"/>
        <family val="2"/>
        <charset val="1"/>
      </rPr>
      <t>국토교통부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그린뉴딜</t>
    </r>
    <r>
      <rPr>
        <sz val="10"/>
        <rFont val="Cambria"/>
        <family val="1"/>
      </rPr>
      <t xml:space="preserve">) + </t>
    </r>
    <r>
      <rPr>
        <sz val="10"/>
        <rFont val="Noto Sans CJK SC"/>
        <family val="2"/>
        <charset val="1"/>
      </rPr>
      <t>한국토지주택공사</t>
    </r>
    <r>
      <rPr>
        <sz val="10"/>
        <rFont val="Cambria"/>
        <family val="1"/>
      </rPr>
      <t xml:space="preserve">(LH) </t>
    </r>
    <r>
      <rPr>
        <sz val="10"/>
        <rFont val="Noto Sans CJK SC"/>
        <family val="2"/>
        <charset val="1"/>
      </rPr>
      <t>시행</t>
    </r>
  </si>
  <si>
    <r>
      <rPr>
        <sz val="10"/>
        <rFont val="Noto Sans CJK SC"/>
        <family val="2"/>
        <charset val="1"/>
      </rPr>
      <t xml:space="preserve">건령 </t>
    </r>
    <r>
      <rPr>
        <sz val="10"/>
        <rFont val="Cambria"/>
        <family val="1"/>
      </rPr>
      <t>15</t>
    </r>
    <r>
      <rPr>
        <sz val="10"/>
        <rFont val="Noto Sans CJK SC"/>
        <family val="2"/>
        <charset val="1"/>
      </rPr>
      <t>년이상 노후 영구임대</t>
    </r>
    <r>
      <rPr>
        <sz val="10"/>
        <rFont val="Cambria"/>
        <family val="1"/>
      </rPr>
      <t>(19</t>
    </r>
    <r>
      <rPr>
        <sz val="10"/>
        <rFont val="Noto Sans CJK SC"/>
        <family val="2"/>
        <charset val="1"/>
      </rPr>
      <t>만호</t>
    </r>
    <r>
      <rPr>
        <sz val="10"/>
        <rFont val="Cambria"/>
        <family val="1"/>
      </rPr>
      <t>)·</t>
    </r>
    <r>
      <rPr>
        <sz val="10"/>
        <rFont val="Noto Sans CJK SC"/>
        <family val="2"/>
        <charset val="1"/>
      </rPr>
      <t>매입임대</t>
    </r>
    <r>
      <rPr>
        <sz val="10"/>
        <rFont val="Cambria"/>
        <family val="1"/>
      </rPr>
      <t>(3.5</t>
    </r>
    <r>
      <rPr>
        <sz val="10"/>
        <rFont val="Noto Sans CJK SC"/>
        <family val="2"/>
        <charset val="1"/>
      </rPr>
      <t>만호</t>
    </r>
    <r>
      <rPr>
        <sz val="10"/>
        <rFont val="Cambria"/>
        <family val="1"/>
      </rPr>
      <t xml:space="preserve">), </t>
    </r>
    <r>
      <rPr>
        <sz val="10"/>
        <rFont val="Noto Sans CJK SC"/>
        <family val="2"/>
        <charset val="1"/>
      </rPr>
      <t>입주민 개별신청 불가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단지 단위 시행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</si>
  <si>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국비</t>
    </r>
    <r>
      <rPr>
        <sz val="10"/>
        <rFont val="Cambria"/>
        <family val="1"/>
      </rPr>
      <t>+LH/</t>
    </r>
    <r>
      <rPr>
        <sz val="10"/>
        <rFont val="Noto Sans CJK SC"/>
        <family val="2"/>
        <charset val="1"/>
      </rPr>
      <t>지자체 사업비</t>
    </r>
    <r>
      <rPr>
        <sz val="10"/>
        <rFont val="Cambria"/>
        <family val="1"/>
      </rPr>
      <t>, 2021</t>
    </r>
    <r>
      <rPr>
        <sz val="10"/>
        <rFont val="Noto Sans CJK SC"/>
        <family val="2"/>
        <charset val="1"/>
      </rPr>
      <t xml:space="preserve">년 </t>
    </r>
    <r>
      <rPr>
        <sz val="10"/>
        <rFont val="Cambria"/>
        <family val="1"/>
      </rPr>
      <t>4</t>
    </r>
    <r>
      <rPr>
        <sz val="10"/>
        <rFont val="Noto Sans CJK SC"/>
        <family val="2"/>
        <charset val="1"/>
      </rPr>
      <t xml:space="preserve">만호 약 </t>
    </r>
    <r>
      <rPr>
        <sz val="10"/>
        <rFont val="Cambria"/>
        <family val="1"/>
      </rPr>
      <t>5,900</t>
    </r>
    <r>
      <rPr>
        <sz val="10"/>
        <rFont val="Noto Sans CJK SC"/>
        <family val="2"/>
        <charset val="1"/>
      </rPr>
      <t>억원</t>
    </r>
    <r>
      <rPr>
        <sz val="10"/>
        <rFont val="Cambria"/>
        <family val="1"/>
      </rPr>
      <t>, 2024</t>
    </r>
    <r>
      <rPr>
        <sz val="10"/>
        <rFont val="Noto Sans CJK SC"/>
        <family val="2"/>
        <charset val="1"/>
      </rPr>
      <t xml:space="preserve">년 </t>
    </r>
    <r>
      <rPr>
        <sz val="10"/>
        <rFont val="Cambria"/>
        <family val="1"/>
      </rPr>
      <t>108</t>
    </r>
    <r>
      <rPr>
        <sz val="10"/>
        <rFont val="Noto Sans CJK SC"/>
        <family val="2"/>
        <charset val="1"/>
      </rPr>
      <t xml:space="preserve">단지 </t>
    </r>
    <r>
      <rPr>
        <sz val="10"/>
        <rFont val="Cambria"/>
        <family val="1"/>
      </rPr>
      <t>8,910</t>
    </r>
    <r>
      <rPr>
        <sz val="10"/>
        <rFont val="Noto Sans CJK SC"/>
        <family val="2"/>
        <charset val="1"/>
      </rPr>
      <t>호 발주</t>
    </r>
  </si>
  <si>
    <r>
      <rPr>
        <sz val="10"/>
        <rFont val="Noto Sans CJK SC"/>
        <family val="2"/>
        <charset val="1"/>
      </rPr>
      <t>명시 없음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입주민 자부담 없음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발주형 사업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</si>
  <si>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고성능 단열재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창호</t>
    </r>
    <r>
      <rPr>
        <sz val="10"/>
        <rFont val="Cambria"/>
        <family val="1"/>
      </rPr>
      <t xml:space="preserve">, LED, </t>
    </r>
    <r>
      <rPr>
        <sz val="10"/>
        <rFont val="Noto Sans CJK SC"/>
        <family val="2"/>
        <charset val="1"/>
      </rPr>
      <t>콘덴싱보일러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복합환기시스템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세대통합 리모델링 등</t>
    </r>
  </si>
  <si>
    <r>
      <rPr>
        <sz val="10"/>
        <rFont val="Cambria"/>
        <family val="1"/>
      </rPr>
      <t xml:space="preserve">LH </t>
    </r>
    <r>
      <rPr>
        <sz val="10"/>
        <rFont val="Noto Sans CJK SC"/>
        <family val="2"/>
        <charset val="1"/>
      </rPr>
      <t>연간계획에 따라 연초</t>
    </r>
    <r>
      <rPr>
        <sz val="10"/>
        <rFont val="Cambria"/>
        <family val="1"/>
      </rPr>
      <t>(1~3</t>
    </r>
    <r>
      <rPr>
        <sz val="10"/>
        <rFont val="Noto Sans CJK SC"/>
        <family val="2"/>
        <charset val="1"/>
      </rPr>
      <t>월</t>
    </r>
    <r>
      <rPr>
        <sz val="10"/>
        <rFont val="Cambria"/>
        <family val="1"/>
      </rPr>
      <t xml:space="preserve">) </t>
    </r>
    <r>
      <rPr>
        <sz val="10"/>
        <rFont val="Noto Sans CJK SC"/>
        <family val="2"/>
        <charset val="1"/>
      </rPr>
      <t>공사 발주</t>
    </r>
    <r>
      <rPr>
        <sz val="10"/>
        <rFont val="Cambria"/>
        <family val="1"/>
      </rPr>
      <t>, 2026</t>
    </r>
    <r>
      <rPr>
        <sz val="10"/>
        <rFont val="Noto Sans CJK SC"/>
        <family val="2"/>
        <charset val="1"/>
      </rPr>
      <t>년 신규 발주 여부 확인 불가</t>
    </r>
  </si>
  <si>
    <r>
      <rPr>
        <sz val="10"/>
        <rFont val="Noto Sans CJK SC"/>
        <family val="2"/>
        <charset val="1"/>
      </rPr>
      <t>개별 신청 접수처 없음</t>
    </r>
    <r>
      <rPr>
        <sz val="10"/>
        <rFont val="Cambria"/>
        <family val="1"/>
      </rPr>
      <t>, LH</t>
    </r>
    <r>
      <rPr>
        <sz val="10"/>
        <rFont val="Noto Sans CJK SC"/>
        <family val="2"/>
        <charset val="1"/>
      </rPr>
      <t xml:space="preserve">콜센터 </t>
    </r>
    <r>
      <rPr>
        <sz val="10"/>
        <rFont val="Cambria"/>
        <family val="1"/>
      </rPr>
      <t>1600-1004</t>
    </r>
  </si>
  <si>
    <r>
      <rPr>
        <sz val="10"/>
        <rFont val="Cambria"/>
        <family val="1"/>
      </rPr>
      <t>n.a.(2026</t>
    </r>
    <r>
      <rPr>
        <sz val="10"/>
        <rFont val="Noto Sans CJK SC"/>
        <family val="2"/>
        <charset val="1"/>
      </rPr>
      <t>년 신규 발주 미확인</t>
    </r>
    <r>
      <rPr>
        <sz val="10"/>
        <rFont val="Cambria"/>
        <family val="1"/>
      </rPr>
      <t>)</t>
    </r>
  </si>
  <si>
    <t>확인불가</t>
  </si>
  <si>
    <t>https://www.molit.go.kr/newdeal/sub/sub_2_1.jsp ; https://www.dnews.co.kr/uhtml/view.jsp?idxno=202401191008241640929</t>
  </si>
  <si>
    <t>수원시</t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</si>
  <si>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>년 새빛하우스 집수리 지원사업</t>
    </r>
  </si>
  <si>
    <r>
      <rPr>
        <sz val="10"/>
        <rFont val="Noto Sans CJK SC"/>
        <family val="2"/>
        <charset val="1"/>
      </rPr>
      <t>수원도시재단 주거복지센터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「수원시 저층 노후주택 집수리 지원 조례」 제</t>
    </r>
    <r>
      <rPr>
        <sz val="10"/>
        <rFont val="Cambria"/>
        <family val="1"/>
      </rPr>
      <t>7</t>
    </r>
    <r>
      <rPr>
        <sz val="10"/>
        <rFont val="Noto Sans CJK SC"/>
        <family val="2"/>
        <charset val="1"/>
      </rPr>
      <t>조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</si>
  <si>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 xml:space="preserve">집수리지원구역 내 사용승인 </t>
    </r>
    <r>
      <rPr>
        <sz val="10"/>
        <rFont val="Cambria"/>
        <family val="1"/>
      </rPr>
      <t>20</t>
    </r>
    <r>
      <rPr>
        <sz val="10"/>
        <rFont val="Noto Sans CJK SC"/>
        <family val="2"/>
        <charset val="1"/>
      </rPr>
      <t>년이상 단독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다가구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다세대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연립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상가주택 소유자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소득기준 없음</t>
    </r>
  </si>
  <si>
    <r>
      <rPr>
        <sz val="10"/>
        <rFont val="Noto Sans CJK SC"/>
        <family val="2"/>
        <charset val="1"/>
      </rPr>
      <t xml:space="preserve">단독주택 최대 </t>
    </r>
    <r>
      <rPr>
        <sz val="10"/>
        <rFont val="Cambria"/>
        <family val="1"/>
      </rPr>
      <t>1,200</t>
    </r>
    <r>
      <rPr>
        <sz val="10"/>
        <rFont val="Noto Sans CJK SC"/>
        <family val="2"/>
        <charset val="1"/>
      </rPr>
      <t xml:space="preserve">만원 </t>
    </r>
    <r>
      <rPr>
        <sz val="10"/>
        <rFont val="Cambria"/>
        <family val="1"/>
      </rPr>
      <t xml:space="preserve">/ </t>
    </r>
    <r>
      <rPr>
        <sz val="10"/>
        <rFont val="Noto Sans CJK SC"/>
        <family val="2"/>
        <charset val="1"/>
      </rPr>
      <t>다세대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연립 개별세대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 xml:space="preserve">상가 최대 </t>
    </r>
    <r>
      <rPr>
        <sz val="10"/>
        <rFont val="Cambria"/>
        <family val="1"/>
      </rPr>
      <t>500</t>
    </r>
    <r>
      <rPr>
        <sz val="10"/>
        <rFont val="Noto Sans CJK SC"/>
        <family val="2"/>
        <charset val="1"/>
      </rPr>
      <t xml:space="preserve">만원 </t>
    </r>
    <r>
      <rPr>
        <sz val="10"/>
        <rFont val="Cambria"/>
        <family val="1"/>
      </rPr>
      <t xml:space="preserve">/ </t>
    </r>
    <r>
      <rPr>
        <sz val="10"/>
        <rFont val="Noto Sans CJK SC"/>
        <family val="2"/>
        <charset val="1"/>
      </rPr>
      <t xml:space="preserve">현관 단열방화문 최대 </t>
    </r>
    <r>
      <rPr>
        <sz val="10"/>
        <rFont val="Cambria"/>
        <family val="1"/>
      </rPr>
      <t>600</t>
    </r>
    <r>
      <rPr>
        <sz val="10"/>
        <rFont val="Noto Sans CJK SC"/>
        <family val="2"/>
        <charset val="1"/>
      </rPr>
      <t xml:space="preserve">만원 </t>
    </r>
    <r>
      <rPr>
        <sz val="10"/>
        <rFont val="Cambria"/>
        <family val="1"/>
      </rPr>
      <t xml:space="preserve">/ </t>
    </r>
    <r>
      <rPr>
        <sz val="10"/>
        <rFont val="Noto Sans CJK SC"/>
        <family val="2"/>
        <charset val="1"/>
      </rPr>
      <t xml:space="preserve">공용부 </t>
    </r>
    <r>
      <rPr>
        <sz val="10"/>
        <rFont val="Cambria"/>
        <family val="1"/>
      </rPr>
      <t>1,400~2,000</t>
    </r>
    <r>
      <rPr>
        <sz val="10"/>
        <rFont val="Noto Sans CJK SC"/>
        <family val="2"/>
        <charset val="1"/>
      </rPr>
      <t>만원</t>
    </r>
  </si>
  <si>
    <r>
      <rPr>
        <sz val="10"/>
        <rFont val="Noto Sans CJK SC"/>
        <family val="2"/>
        <charset val="1"/>
      </rPr>
      <t xml:space="preserve">총공사비의 </t>
    </r>
    <r>
      <rPr>
        <sz val="10"/>
        <rFont val="Cambria"/>
        <family val="1"/>
      </rPr>
      <t>90%</t>
    </r>
    <r>
      <rPr>
        <sz val="10"/>
        <rFont val="Noto Sans CJK SC"/>
        <family val="2"/>
        <charset val="1"/>
      </rPr>
      <t>이내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 xml:space="preserve">우선선정가구는 </t>
    </r>
    <r>
      <rPr>
        <sz val="10"/>
        <rFont val="Cambria"/>
        <family val="1"/>
      </rPr>
      <t>100%)</t>
    </r>
  </si>
  <si>
    <r>
      <rPr>
        <sz val="10"/>
        <rFont val="Noto Sans CJK SC"/>
        <family val="2"/>
        <charset val="1"/>
      </rPr>
      <t>방수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단열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도장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창호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금속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난방설비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담장 등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재단 등록 시공업체 통해 시공 의무</t>
    </r>
  </si>
  <si>
    <r>
      <rPr>
        <sz val="10"/>
        <rFont val="Cambria"/>
        <family val="1"/>
      </rPr>
      <t>2026.1.5~2.27(</t>
    </r>
    <r>
      <rPr>
        <sz val="10"/>
        <rFont val="Noto Sans CJK SC"/>
        <family val="2"/>
        <charset val="1"/>
      </rPr>
      <t>종료</t>
    </r>
    <r>
      <rPr>
        <sz val="10"/>
        <rFont val="Cambria"/>
        <family val="1"/>
      </rPr>
      <t>)</t>
    </r>
  </si>
  <si>
    <t>수원도시재단 주거복지센터</t>
  </si>
  <si>
    <t>https://www.sscf2016.or.kr/entry_view.do?mn_key=02020000&amp;srch_page=1&amp;ACV_CNT_BOARD_NUM=202601051248190971</t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</si>
  <si>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>년 주거취약계층 클린서비스 사업</t>
    </r>
  </si>
  <si>
    <t>수원도시재단</t>
  </si>
  <si>
    <r>
      <rPr>
        <sz val="10"/>
        <rFont val="Noto Sans CJK SC"/>
        <family val="2"/>
        <charset val="1"/>
      </rPr>
      <t>수원시 실거주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 xml:space="preserve">중위소득 </t>
    </r>
    <r>
      <rPr>
        <sz val="10"/>
        <rFont val="Cambria"/>
        <family val="1"/>
      </rPr>
      <t>75%</t>
    </r>
    <r>
      <rPr>
        <sz val="10"/>
        <rFont val="Noto Sans CJK SC"/>
        <family val="2"/>
        <charset val="1"/>
      </rPr>
      <t>이하</t>
    </r>
    <r>
      <rPr>
        <sz val="10"/>
        <rFont val="Cambria"/>
        <family val="1"/>
      </rPr>
      <t>(4</t>
    </r>
    <r>
      <rPr>
        <sz val="10"/>
        <rFont val="Noto Sans CJK SC"/>
        <family val="2"/>
        <charset val="1"/>
      </rPr>
      <t xml:space="preserve">인 </t>
    </r>
    <r>
      <rPr>
        <sz val="10"/>
        <rFont val="Cambria"/>
        <family val="1"/>
      </rPr>
      <t>4,871,054</t>
    </r>
    <r>
      <rPr>
        <sz val="10"/>
        <rFont val="Noto Sans CJK SC"/>
        <family val="2"/>
        <charset val="1"/>
      </rPr>
      <t>원</t>
    </r>
    <r>
      <rPr>
        <sz val="10"/>
        <rFont val="Cambria"/>
        <family val="1"/>
      </rPr>
      <t>/</t>
    </r>
    <r>
      <rPr>
        <sz val="10"/>
        <rFont val="Noto Sans CJK SC"/>
        <family val="2"/>
        <charset val="1"/>
      </rPr>
      <t>월</t>
    </r>
    <r>
      <rPr>
        <sz val="10"/>
        <rFont val="Cambria"/>
        <family val="1"/>
      </rPr>
      <t xml:space="preserve">), </t>
    </r>
    <r>
      <rPr>
        <sz val="10"/>
        <rFont val="Noto Sans CJK SC"/>
        <family val="2"/>
        <charset val="1"/>
      </rPr>
      <t>저장강박의심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독거노인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장애인가구</t>
    </r>
  </si>
  <si>
    <r>
      <rPr>
        <sz val="10"/>
        <rFont val="Noto Sans CJK SC"/>
        <family val="2"/>
        <charset val="1"/>
      </rPr>
      <t xml:space="preserve">가구당 </t>
    </r>
    <r>
      <rPr>
        <sz val="10"/>
        <rFont val="Cambria"/>
        <family val="1"/>
      </rPr>
      <t>200</t>
    </r>
    <r>
      <rPr>
        <sz val="10"/>
        <rFont val="Noto Sans CJK SC"/>
        <family val="2"/>
        <charset val="1"/>
      </rPr>
      <t>만원 내</t>
    </r>
    <r>
      <rPr>
        <sz val="10"/>
        <rFont val="Cambria"/>
        <family val="1"/>
      </rPr>
      <t>(10</t>
    </r>
    <r>
      <rPr>
        <sz val="10"/>
        <rFont val="Noto Sans CJK SC"/>
        <family val="2"/>
        <charset val="1"/>
      </rPr>
      <t>가구 내외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 xml:space="preserve">재단 상시안내는 </t>
    </r>
    <r>
      <rPr>
        <sz val="10"/>
        <rFont val="Cambria"/>
        <family val="1"/>
      </rPr>
      <t>100</t>
    </r>
    <r>
      <rPr>
        <sz val="10"/>
        <rFont val="Noto Sans CJK SC"/>
        <family val="2"/>
        <charset val="1"/>
      </rPr>
      <t>만원으로 상이 표기</t>
    </r>
    <r>
      <rPr>
        <sz val="10"/>
        <rFont val="Cambria"/>
        <family val="1"/>
      </rPr>
      <t>)</t>
    </r>
  </si>
  <si>
    <t>명시 없음</t>
  </si>
  <si>
    <r>
      <rPr>
        <sz val="10"/>
        <rFont val="Noto Sans CJK SC"/>
        <family val="2"/>
        <charset val="1"/>
      </rPr>
      <t>청소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정리수납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방역 등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시설공사 아님</t>
    </r>
    <r>
      <rPr>
        <sz val="10"/>
        <rFont val="Cambria"/>
        <family val="1"/>
      </rPr>
      <t>)</t>
    </r>
  </si>
  <si>
    <r>
      <rPr>
        <sz val="10"/>
        <rFont val="Cambria"/>
        <family val="1"/>
      </rPr>
      <t>2026.6.8~</t>
    </r>
    <r>
      <rPr>
        <sz val="10"/>
        <rFont val="Noto Sans CJK SC"/>
        <family val="2"/>
        <charset val="1"/>
      </rPr>
      <t>예산 소진 시까지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상시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</si>
  <si>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진행중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예산 소진 시 종료</t>
    </r>
    <r>
      <rPr>
        <sz val="10"/>
        <rFont val="Cambria"/>
        <family val="1"/>
      </rPr>
      <t>)</t>
    </r>
  </si>
  <si>
    <t>https://www.sscf2016.or.kr/sscf2019_files/contest/1780873066291_0291.pdf ; https://www.suzip.or.kr/hw/clean.do</t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</si>
  <si>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>년 주거취약계층 주거환경개선사업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집수리</t>
    </r>
    <r>
      <rPr>
        <sz val="10"/>
        <rFont val="Cambria"/>
        <family val="1"/>
      </rPr>
      <t>) 2</t>
    </r>
    <r>
      <rPr>
        <sz val="10"/>
        <rFont val="Noto Sans CJK SC"/>
        <family val="2"/>
        <charset val="1"/>
      </rPr>
      <t>차</t>
    </r>
  </si>
  <si>
    <r>
      <rPr>
        <sz val="10"/>
        <rFont val="Noto Sans CJK SC"/>
        <family val="2"/>
        <charset val="1"/>
      </rPr>
      <t>기초수급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차상위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최저주거기준 미달 또는 지하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반지하 거주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재난피해가구 등</t>
    </r>
  </si>
  <si>
    <r>
      <rPr>
        <sz val="10"/>
        <rFont val="Noto Sans CJK SC"/>
        <family val="2"/>
        <charset val="1"/>
      </rPr>
      <t xml:space="preserve">가구당 </t>
    </r>
    <r>
      <rPr>
        <sz val="10"/>
        <rFont val="Cambria"/>
        <family val="1"/>
      </rPr>
      <t>300</t>
    </r>
    <r>
      <rPr>
        <sz val="10"/>
        <rFont val="Noto Sans CJK SC"/>
        <family val="2"/>
        <charset val="1"/>
      </rPr>
      <t>만원 내외</t>
    </r>
    <r>
      <rPr>
        <sz val="10"/>
        <rFont val="Cambria"/>
        <family val="1"/>
      </rPr>
      <t>(5</t>
    </r>
    <r>
      <rPr>
        <sz val="10"/>
        <rFont val="Noto Sans CJK SC"/>
        <family val="2"/>
        <charset val="1"/>
      </rPr>
      <t>가구 내외</t>
    </r>
    <r>
      <rPr>
        <sz val="10"/>
        <rFont val="Cambria"/>
        <family val="1"/>
      </rPr>
      <t>)</t>
    </r>
  </si>
  <si>
    <t>주거환경개선 집수리 공사</t>
  </si>
  <si>
    <r>
      <rPr>
        <sz val="10"/>
        <rFont val="Cambria"/>
        <family val="1"/>
      </rPr>
      <t>2026.9.7~9.11(</t>
    </r>
    <r>
      <rPr>
        <sz val="10"/>
        <rFont val="Noto Sans CJK SC"/>
        <family val="2"/>
        <charset val="1"/>
      </rPr>
      <t>마감</t>
    </r>
    <r>
      <rPr>
        <sz val="10"/>
        <rFont val="Cambria"/>
        <family val="1"/>
      </rPr>
      <t>)</t>
    </r>
  </si>
  <si>
    <t>https://sscf2016.or.kr/entry_view.do?mn_key=&amp;srch_page=2&amp;ACV_CNT_BOARD_NUM=202609011143510020</t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</si>
  <si>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>년 수원시 녹색건축물 조성 지원사업</t>
    </r>
  </si>
  <si>
    <t>수원시 건축과</t>
  </si>
  <si>
    <r>
      <rPr>
        <sz val="10"/>
        <rFont val="Noto Sans CJK SC"/>
        <family val="2"/>
        <charset val="1"/>
      </rPr>
      <t xml:space="preserve">사용승인 </t>
    </r>
    <r>
      <rPr>
        <sz val="10"/>
        <rFont val="Cambria"/>
        <family val="1"/>
      </rPr>
      <t>15</t>
    </r>
    <r>
      <rPr>
        <sz val="10"/>
        <rFont val="Noto Sans CJK SC"/>
        <family val="2"/>
        <charset val="1"/>
      </rPr>
      <t>년이상 단독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다가구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상가주택</t>
    </r>
    <r>
      <rPr>
        <sz val="10"/>
        <rFont val="Cambria"/>
        <family val="1"/>
      </rPr>
      <t>(660</t>
    </r>
    <r>
      <rPr>
        <sz val="10"/>
        <rFont val="Noto Sans CJK SC"/>
        <family val="2"/>
        <charset val="1"/>
      </rPr>
      <t>㎡이하</t>
    </r>
    <r>
      <rPr>
        <sz val="10"/>
        <rFont val="Cambria"/>
        <family val="1"/>
      </rPr>
      <t>)·150</t>
    </r>
    <r>
      <rPr>
        <sz val="10"/>
        <rFont val="Noto Sans CJK SC"/>
        <family val="2"/>
        <charset val="1"/>
      </rPr>
      <t>세대이하 다세대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연립 소유자</t>
    </r>
  </si>
  <si>
    <r>
      <rPr>
        <sz val="10"/>
        <rFont val="Noto Sans CJK SC"/>
        <family val="2"/>
        <charset val="1"/>
      </rPr>
      <t xml:space="preserve">최대 </t>
    </r>
    <r>
      <rPr>
        <sz val="10"/>
        <rFont val="Cambria"/>
        <family val="1"/>
      </rPr>
      <t>1,000</t>
    </r>
    <r>
      <rPr>
        <sz val="10"/>
        <rFont val="Noto Sans CJK SC"/>
        <family val="2"/>
        <charset val="1"/>
      </rPr>
      <t>만원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수원화성 역사문화환경보존지역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주거환경개선사업구역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 xml:space="preserve">도시재생활성화지역 내 주택은 최대 </t>
    </r>
    <r>
      <rPr>
        <sz val="10"/>
        <rFont val="Cambria"/>
        <family val="1"/>
      </rPr>
      <t>2,000</t>
    </r>
    <r>
      <rPr>
        <sz val="10"/>
        <rFont val="Noto Sans CJK SC"/>
        <family val="2"/>
        <charset val="1"/>
      </rPr>
      <t>만원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</si>
  <si>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 xml:space="preserve">공사원가의 </t>
    </r>
    <r>
      <rPr>
        <sz val="10"/>
        <rFont val="Cambria"/>
        <family val="1"/>
      </rPr>
      <t xml:space="preserve">50% </t>
    </r>
    <r>
      <rPr>
        <sz val="10"/>
        <rFont val="Noto Sans CJK SC"/>
        <family val="2"/>
        <charset val="1"/>
      </rPr>
      <t>범위</t>
    </r>
  </si>
  <si>
    <r>
      <rPr>
        <sz val="10"/>
        <rFont val="Noto Sans CJK SC"/>
        <family val="2"/>
        <charset val="1"/>
      </rPr>
      <t>내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외부 단열공사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이중창 교체</t>
    </r>
    <r>
      <rPr>
        <sz val="10"/>
        <rFont val="Cambria"/>
        <family val="1"/>
      </rPr>
      <t xml:space="preserve">, LED, </t>
    </r>
    <r>
      <rPr>
        <sz val="10"/>
        <rFont val="Noto Sans CJK SC"/>
        <family val="2"/>
        <charset val="1"/>
      </rPr>
      <t>온수난방패널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친환경 콘덴싱보일러</t>
    </r>
    <r>
      <rPr>
        <sz val="10"/>
        <rFont val="Cambria"/>
        <family val="1"/>
      </rPr>
      <t>(1</t>
    </r>
    <r>
      <rPr>
        <sz val="10"/>
        <rFont val="Noto Sans CJK SC"/>
        <family val="2"/>
        <charset val="1"/>
      </rPr>
      <t>종</t>
    </r>
    <r>
      <rPr>
        <sz val="10"/>
        <rFont val="Cambria"/>
        <family val="1"/>
      </rPr>
      <t xml:space="preserve">) </t>
    </r>
    <r>
      <rPr>
        <sz val="10"/>
        <rFont val="Noto Sans CJK SC"/>
        <family val="2"/>
        <charset val="1"/>
      </rPr>
      <t>교체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단열 현관문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중문</t>
    </r>
  </si>
  <si>
    <r>
      <rPr>
        <sz val="10"/>
        <rFont val="Cambria"/>
        <family val="1"/>
      </rPr>
      <t>2026.2.2~2.27(</t>
    </r>
    <r>
      <rPr>
        <sz val="10"/>
        <rFont val="Noto Sans CJK SC"/>
        <family val="2"/>
        <charset val="1"/>
      </rPr>
      <t>종료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등기우편 소인 유효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</si>
  <si>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수원시청 건축과 방문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등기우편</t>
    </r>
  </si>
  <si>
    <t>https://www.metroseoul.co.kr/article/20260202500037</t>
  </si>
  <si>
    <t>김포시</t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</si>
  <si>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>년 햇살하우징 사업</t>
    </r>
  </si>
  <si>
    <r>
      <rPr>
        <sz val="10"/>
        <rFont val="Noto Sans CJK SC"/>
        <family val="2"/>
        <charset val="1"/>
      </rPr>
      <t>김포시 주택과 주거복지팀</t>
    </r>
    <r>
      <rPr>
        <sz val="10"/>
        <rFont val="Cambria"/>
        <family val="1"/>
      </rPr>
      <t>(☎031-980-2417)</t>
    </r>
  </si>
  <si>
    <r>
      <rPr>
        <sz val="10"/>
        <rFont val="Noto Sans CJK SC"/>
        <family val="2"/>
        <charset val="1"/>
      </rPr>
      <t xml:space="preserve">노후주택 거주 중위소득 </t>
    </r>
    <r>
      <rPr>
        <sz val="10"/>
        <rFont val="Cambria"/>
        <family val="1"/>
      </rPr>
      <t>50%</t>
    </r>
    <r>
      <rPr>
        <sz val="10"/>
        <rFont val="Noto Sans CJK SC"/>
        <family val="2"/>
        <charset val="1"/>
      </rPr>
      <t>이하 가구</t>
    </r>
    <r>
      <rPr>
        <sz val="10"/>
        <rFont val="Cambria"/>
        <family val="1"/>
      </rPr>
      <t>(4</t>
    </r>
    <r>
      <rPr>
        <sz val="10"/>
        <rFont val="Noto Sans CJK SC"/>
        <family val="2"/>
        <charset val="1"/>
      </rPr>
      <t xml:space="preserve">인 </t>
    </r>
    <r>
      <rPr>
        <sz val="10"/>
        <rFont val="Cambria"/>
        <family val="1"/>
      </rPr>
      <t>3,247,369</t>
    </r>
    <r>
      <rPr>
        <sz val="10"/>
        <rFont val="Noto Sans CJK SC"/>
        <family val="2"/>
        <charset val="1"/>
      </rPr>
      <t>원</t>
    </r>
    <r>
      <rPr>
        <sz val="10"/>
        <rFont val="Cambria"/>
        <family val="1"/>
      </rPr>
      <t>), 2026</t>
    </r>
    <r>
      <rPr>
        <sz val="10"/>
        <rFont val="Noto Sans CJK SC"/>
        <family val="2"/>
        <charset val="1"/>
      </rPr>
      <t xml:space="preserve">년 총 </t>
    </r>
    <r>
      <rPr>
        <sz val="10"/>
        <rFont val="Cambria"/>
        <family val="1"/>
      </rPr>
      <t>6</t>
    </r>
    <r>
      <rPr>
        <sz val="10"/>
        <rFont val="Noto Sans CJK SC"/>
        <family val="2"/>
        <charset val="1"/>
      </rPr>
      <t>가구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 xml:space="preserve">예비 </t>
    </r>
    <r>
      <rPr>
        <sz val="10"/>
        <rFont val="Cambria"/>
        <family val="1"/>
      </rPr>
      <t>1</t>
    </r>
    <r>
      <rPr>
        <sz val="10"/>
        <rFont val="Noto Sans CJK SC"/>
        <family val="2"/>
        <charset val="1"/>
      </rPr>
      <t>가구 포함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</si>
  <si>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 xml:space="preserve">가구당 최대 </t>
    </r>
    <r>
      <rPr>
        <sz val="10"/>
        <rFont val="Cambria"/>
        <family val="1"/>
      </rPr>
      <t>500</t>
    </r>
    <r>
      <rPr>
        <sz val="10"/>
        <rFont val="Noto Sans CJK SC"/>
        <family val="2"/>
        <charset val="1"/>
      </rPr>
      <t>만원 한도</t>
    </r>
  </si>
  <si>
    <r>
      <rPr>
        <sz val="10"/>
        <rFont val="Noto Sans CJK SC"/>
        <family val="2"/>
        <charset val="1"/>
      </rPr>
      <t>창호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문 교체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벽체 단열보강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고효율 보일러 교체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냉난방기 교체</t>
    </r>
    <r>
      <rPr>
        <sz val="10"/>
        <rFont val="Cambria"/>
        <family val="1"/>
      </rPr>
      <t xml:space="preserve">, LED </t>
    </r>
    <r>
      <rPr>
        <sz val="10"/>
        <rFont val="Noto Sans CJK SC"/>
        <family val="2"/>
        <charset val="1"/>
      </rPr>
      <t>조명 교체</t>
    </r>
  </si>
  <si>
    <r>
      <rPr>
        <sz val="10"/>
        <rFont val="Cambria"/>
        <family val="1"/>
      </rPr>
      <t>2026.1.20~2.20(</t>
    </r>
    <r>
      <rPr>
        <sz val="10"/>
        <rFont val="Noto Sans CJK SC"/>
        <family val="2"/>
        <charset val="1"/>
      </rPr>
      <t>종료</t>
    </r>
    <r>
      <rPr>
        <sz val="10"/>
        <rFont val="Cambria"/>
        <family val="1"/>
      </rPr>
      <t>)</t>
    </r>
  </si>
  <si>
    <t>김포시 주택과</t>
  </si>
  <si>
    <t>https://www.gimpo.go.kr/news/selectBbsNttView.do?bbsNo=466&amp;key=9377&amp;nttNo=960657</t>
  </si>
  <si>
    <r>
      <rPr>
        <sz val="10"/>
        <rFont val="Noto Sans CJK SC"/>
        <family val="2"/>
        <charset val="1"/>
      </rPr>
      <t>가정용 친환경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콘덴싱</t>
    </r>
    <r>
      <rPr>
        <sz val="10"/>
        <rFont val="Cambria"/>
        <family val="1"/>
      </rPr>
      <t xml:space="preserve">) </t>
    </r>
    <r>
      <rPr>
        <sz val="10"/>
        <rFont val="Noto Sans CJK SC"/>
        <family val="2"/>
        <charset val="1"/>
      </rPr>
      <t>보일러 설치 지원 사업</t>
    </r>
  </si>
  <si>
    <r>
      <rPr>
        <sz val="10"/>
        <rFont val="Noto Sans CJK SC"/>
        <family val="2"/>
        <charset val="1"/>
      </rPr>
      <t>김포시 기후에너지과 미세먼지대응팀</t>
    </r>
    <r>
      <rPr>
        <sz val="10"/>
        <rFont val="Cambria"/>
        <family val="1"/>
      </rPr>
      <t>(☎031-980-5374)</t>
    </r>
  </si>
  <si>
    <r>
      <rPr>
        <sz val="10"/>
        <rFont val="Noto Sans CJK SC"/>
        <family val="2"/>
        <charset val="1"/>
      </rPr>
      <t>수급권자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차상위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차상위 자활대상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사회복지시설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 xml:space="preserve">중위소득 </t>
    </r>
    <r>
      <rPr>
        <sz val="10"/>
        <rFont val="Cambria"/>
        <family val="1"/>
      </rPr>
      <t>100%</t>
    </r>
    <r>
      <rPr>
        <sz val="10"/>
        <rFont val="Noto Sans CJK SC"/>
        <family val="2"/>
        <charset val="1"/>
      </rPr>
      <t>이하 다자녀</t>
    </r>
    <r>
      <rPr>
        <sz val="10"/>
        <rFont val="Cambria"/>
        <family val="1"/>
      </rPr>
      <t>(2</t>
    </r>
    <r>
      <rPr>
        <sz val="10"/>
        <rFont val="Noto Sans CJK SC"/>
        <family val="2"/>
        <charset val="1"/>
      </rPr>
      <t>자녀이상</t>
    </r>
    <r>
      <rPr>
        <sz val="10"/>
        <rFont val="Cambria"/>
        <family val="1"/>
      </rPr>
      <t xml:space="preserve">) </t>
    </r>
    <r>
      <rPr>
        <sz val="10"/>
        <rFont val="Noto Sans CJK SC"/>
        <family val="2"/>
        <charset val="1"/>
      </rPr>
      <t>가구</t>
    </r>
  </si>
  <si>
    <r>
      <rPr>
        <sz val="10"/>
        <rFont val="Noto Sans CJK SC"/>
        <family val="2"/>
        <charset val="1"/>
      </rPr>
      <t xml:space="preserve">가구당 </t>
    </r>
    <r>
      <rPr>
        <sz val="10"/>
        <rFont val="Cambria"/>
        <family val="1"/>
      </rPr>
      <t>60</t>
    </r>
    <r>
      <rPr>
        <sz val="10"/>
        <rFont val="Noto Sans CJK SC"/>
        <family val="2"/>
        <charset val="1"/>
      </rPr>
      <t>만원 정액</t>
    </r>
    <r>
      <rPr>
        <sz val="10"/>
        <rFont val="Cambria"/>
        <family val="1"/>
      </rPr>
      <t>(2025</t>
    </r>
    <r>
      <rPr>
        <sz val="10"/>
        <rFont val="Noto Sans CJK SC"/>
        <family val="2"/>
        <charset val="1"/>
      </rPr>
      <t xml:space="preserve">년 물량 </t>
    </r>
    <r>
      <rPr>
        <sz val="10"/>
        <rFont val="Cambria"/>
        <family val="1"/>
      </rPr>
      <t>128</t>
    </r>
    <r>
      <rPr>
        <sz val="10"/>
        <rFont val="Noto Sans CJK SC"/>
        <family val="2"/>
        <charset val="1"/>
      </rPr>
      <t>대</t>
    </r>
    <r>
      <rPr>
        <sz val="10"/>
        <rFont val="Cambria"/>
        <family val="1"/>
      </rPr>
      <t>, 2026</t>
    </r>
    <r>
      <rPr>
        <sz val="10"/>
        <rFont val="Noto Sans CJK SC"/>
        <family val="2"/>
        <charset val="1"/>
      </rPr>
      <t>년 물량 미확인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</si>
  <si>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명시 없음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정액 지원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</si>
  <si>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환경표지 인증 콘덴싱 가스보일러</t>
    </r>
    <r>
      <rPr>
        <sz val="10"/>
        <rFont val="Cambria"/>
        <family val="1"/>
      </rPr>
      <t>(70kW</t>
    </r>
    <r>
      <rPr>
        <sz val="10"/>
        <rFont val="Noto Sans CJK SC"/>
        <family val="2"/>
        <charset val="1"/>
      </rPr>
      <t>이하</t>
    </r>
    <r>
      <rPr>
        <sz val="10"/>
        <rFont val="Cambria"/>
        <family val="1"/>
      </rPr>
      <t xml:space="preserve">), </t>
    </r>
    <r>
      <rPr>
        <sz val="10"/>
        <rFont val="Noto Sans CJK SC"/>
        <family val="2"/>
        <charset val="1"/>
      </rPr>
      <t xml:space="preserve">도시가스 미공급지역은 인증 </t>
    </r>
    <r>
      <rPr>
        <sz val="10"/>
        <rFont val="Cambria"/>
        <family val="1"/>
      </rPr>
      <t>2</t>
    </r>
    <r>
      <rPr>
        <sz val="10"/>
        <rFont val="Noto Sans CJK SC"/>
        <family val="2"/>
        <charset val="1"/>
      </rPr>
      <t xml:space="preserve">종 </t>
    </r>
    <r>
      <rPr>
        <sz val="10"/>
        <rFont val="Cambria"/>
        <family val="1"/>
      </rPr>
      <t>LPG</t>
    </r>
    <r>
      <rPr>
        <sz val="10"/>
        <rFont val="Noto Sans CJK SC"/>
        <family val="2"/>
        <charset val="1"/>
      </rPr>
      <t>보일러 교체 시 지원</t>
    </r>
  </si>
  <si>
    <r>
      <rPr>
        <sz val="10"/>
        <rFont val="Noto Sans CJK SC"/>
        <family val="2"/>
        <charset val="1"/>
      </rPr>
      <t>연중 상시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예산 소진 시까지</t>
    </r>
    <r>
      <rPr>
        <sz val="10"/>
        <rFont val="Cambria"/>
        <family val="1"/>
      </rPr>
      <t>)</t>
    </r>
  </si>
  <si>
    <t>김포시 기후에너지과</t>
  </si>
  <si>
    <r>
      <rPr>
        <sz val="10"/>
        <rFont val="Noto Sans CJK SC"/>
        <family val="2"/>
        <charset val="1"/>
      </rPr>
      <t>진행 가능성 높음</t>
    </r>
    <r>
      <rPr>
        <sz val="10"/>
        <rFont val="Cambria"/>
        <family val="1"/>
      </rPr>
      <t>(2026</t>
    </r>
    <r>
      <rPr>
        <sz val="10"/>
        <rFont val="Noto Sans CJK SC"/>
        <family val="2"/>
        <charset val="1"/>
      </rPr>
      <t>년 물량 확인 필요</t>
    </r>
    <r>
      <rPr>
        <sz val="10"/>
        <rFont val="Cambria"/>
        <family val="1"/>
      </rPr>
      <t>)</t>
    </r>
  </si>
  <si>
    <t>https://www.gimpo.go.kr/news/selectBbsNttView.do?key=9377&amp;bbsNo=466&amp;nttNo=904793&amp;pageUnit=10&amp;pageIndex=1&amp;searchCnd=all&amp;searchKrwd=LPG</t>
  </si>
  <si>
    <t>용인시</t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</si>
  <si>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>년 우리집 새단장 지원사업</t>
    </r>
  </si>
  <si>
    <r>
      <rPr>
        <sz val="10"/>
        <rFont val="Noto Sans CJK SC"/>
        <family val="2"/>
        <charset val="1"/>
      </rPr>
      <t>용인특례시 건축과</t>
    </r>
    <r>
      <rPr>
        <sz val="10"/>
        <rFont val="Cambria"/>
        <family val="1"/>
      </rPr>
      <t>(☎031-6193-2398/3247)</t>
    </r>
  </si>
  <si>
    <r>
      <rPr>
        <sz val="10"/>
        <rFont val="Noto Sans CJK SC"/>
        <family val="2"/>
        <charset val="1"/>
      </rPr>
      <t xml:space="preserve">사용승인 </t>
    </r>
    <r>
      <rPr>
        <sz val="10"/>
        <rFont val="Cambria"/>
        <family val="1"/>
      </rPr>
      <t>15</t>
    </r>
    <r>
      <rPr>
        <sz val="10"/>
        <rFont val="Noto Sans CJK SC"/>
        <family val="2"/>
        <charset val="1"/>
      </rPr>
      <t>년이상 단독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공동주택 전유부분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아파트 제외</t>
    </r>
    <r>
      <rPr>
        <sz val="10"/>
        <rFont val="Cambria"/>
        <family val="1"/>
      </rPr>
      <t xml:space="preserve">) </t>
    </r>
    <r>
      <rPr>
        <sz val="10"/>
        <rFont val="Noto Sans CJK SC"/>
        <family val="2"/>
        <charset val="1"/>
      </rPr>
      <t>소유자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기초수급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차상위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한부모 우선</t>
    </r>
  </si>
  <si>
    <r>
      <rPr>
        <sz val="10"/>
        <rFont val="Noto Sans CJK SC"/>
        <family val="2"/>
        <charset val="1"/>
      </rPr>
      <t xml:space="preserve">최대 </t>
    </r>
    <r>
      <rPr>
        <sz val="10"/>
        <rFont val="Cambria"/>
        <family val="1"/>
      </rPr>
      <t>1,000</t>
    </r>
    <r>
      <rPr>
        <sz val="10"/>
        <rFont val="Noto Sans CJK SC"/>
        <family val="2"/>
        <charset val="1"/>
      </rPr>
      <t>만원</t>
    </r>
  </si>
  <si>
    <r>
      <rPr>
        <sz val="10"/>
        <rFont val="Noto Sans CJK SC"/>
        <family val="2"/>
        <charset val="1"/>
      </rPr>
      <t>순공사비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부가세제외</t>
    </r>
    <r>
      <rPr>
        <sz val="10"/>
        <rFont val="Cambria"/>
        <family val="1"/>
      </rPr>
      <t>)</t>
    </r>
    <r>
      <rPr>
        <sz val="10"/>
        <rFont val="Noto Sans CJK SC"/>
        <family val="2"/>
        <charset val="1"/>
      </rPr>
      <t xml:space="preserve">의 </t>
    </r>
    <r>
      <rPr>
        <sz val="10"/>
        <rFont val="Cambria"/>
        <family val="1"/>
      </rPr>
      <t>50%</t>
    </r>
    <r>
      <rPr>
        <sz val="10"/>
        <rFont val="Noto Sans CJK SC"/>
        <family val="2"/>
        <charset val="1"/>
      </rPr>
      <t>이내</t>
    </r>
  </si>
  <si>
    <r>
      <rPr>
        <sz val="10"/>
        <rFont val="Noto Sans CJK SC"/>
        <family val="2"/>
        <charset val="1"/>
      </rPr>
      <t>고성능 창호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문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고기밀 단열보강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고효율 조명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보일러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열회수형 환기장치 등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선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先</t>
    </r>
    <r>
      <rPr>
        <sz val="10"/>
        <rFont val="Cambria"/>
        <family val="1"/>
      </rPr>
      <t>)</t>
    </r>
    <r>
      <rPr>
        <sz val="10"/>
        <rFont val="Noto Sans CJK SC"/>
        <family val="2"/>
        <charset val="1"/>
      </rPr>
      <t>계약 후 신청</t>
    </r>
  </si>
  <si>
    <r>
      <rPr>
        <sz val="10"/>
        <rFont val="Cambria"/>
        <family val="1"/>
      </rPr>
      <t>2026.1.26~2.20(</t>
    </r>
    <r>
      <rPr>
        <sz val="10"/>
        <rFont val="Noto Sans CJK SC"/>
        <family val="2"/>
        <charset val="1"/>
      </rPr>
      <t>종료</t>
    </r>
    <r>
      <rPr>
        <sz val="10"/>
        <rFont val="Cambria"/>
        <family val="1"/>
      </rPr>
      <t>)</t>
    </r>
  </si>
  <si>
    <t>용인시청 건축과 방문접수</t>
  </si>
  <si>
    <t>https://www.welfarehello.com/community/hometownNews/a492c904-92dc-496c-8711-73786ae2c8ba</t>
  </si>
  <si>
    <t>성남시</t>
  </si>
  <si>
    <r>
      <rPr>
        <sz val="10"/>
        <rFont val="Noto Sans CJK SC"/>
        <family val="2"/>
        <charset val="1"/>
      </rPr>
      <t>성남시 주택과 주거복지센터</t>
    </r>
    <r>
      <rPr>
        <sz val="10"/>
        <rFont val="Cambria"/>
        <family val="1"/>
      </rPr>
      <t>(☎031-729-8814)</t>
    </r>
  </si>
  <si>
    <r>
      <rPr>
        <sz val="10"/>
        <rFont val="Noto Sans CJK SC"/>
        <family val="2"/>
        <charset val="1"/>
      </rPr>
      <t xml:space="preserve">중위소득 </t>
    </r>
    <r>
      <rPr>
        <sz val="10"/>
        <rFont val="Cambria"/>
        <family val="1"/>
      </rPr>
      <t>50%</t>
    </r>
    <r>
      <rPr>
        <sz val="10"/>
        <rFont val="Noto Sans CJK SC"/>
        <family val="2"/>
        <charset val="1"/>
      </rPr>
      <t>이하 저소득 가구</t>
    </r>
    <r>
      <rPr>
        <sz val="10"/>
        <rFont val="Cambria"/>
        <family val="1"/>
      </rPr>
      <t>, 2026</t>
    </r>
    <r>
      <rPr>
        <sz val="10"/>
        <rFont val="Noto Sans CJK SC"/>
        <family val="2"/>
        <charset val="1"/>
      </rPr>
      <t xml:space="preserve">년 </t>
    </r>
    <r>
      <rPr>
        <sz val="10"/>
        <rFont val="Cambria"/>
        <family val="1"/>
      </rPr>
      <t>10</t>
    </r>
    <r>
      <rPr>
        <sz val="10"/>
        <rFont val="Noto Sans CJK SC"/>
        <family val="2"/>
        <charset val="1"/>
      </rPr>
      <t>가구 모집</t>
    </r>
  </si>
  <si>
    <r>
      <rPr>
        <sz val="10"/>
        <rFont val="Noto Sans CJK SC"/>
        <family val="2"/>
        <charset val="1"/>
      </rPr>
      <t xml:space="preserve">가구당 최대 </t>
    </r>
    <r>
      <rPr>
        <sz val="10"/>
        <rFont val="Cambria"/>
        <family val="1"/>
      </rPr>
      <t>500</t>
    </r>
    <r>
      <rPr>
        <sz val="10"/>
        <rFont val="Noto Sans CJK SC"/>
        <family val="2"/>
        <charset val="1"/>
      </rPr>
      <t>만원</t>
    </r>
  </si>
  <si>
    <r>
      <rPr>
        <sz val="10"/>
        <rFont val="Noto Sans CJK SC"/>
        <family val="2"/>
        <charset val="1"/>
      </rPr>
      <t>기밀성 창호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문 교체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벽체 내단열 보강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냉난방기 설치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교체</t>
    </r>
    <r>
      <rPr>
        <sz val="10"/>
        <rFont val="Cambria"/>
        <family val="1"/>
      </rPr>
      <t xml:space="preserve">, LED </t>
    </r>
    <r>
      <rPr>
        <sz val="10"/>
        <rFont val="Noto Sans CJK SC"/>
        <family val="2"/>
        <charset val="1"/>
      </rPr>
      <t>조명 교체</t>
    </r>
  </si>
  <si>
    <r>
      <rPr>
        <sz val="10"/>
        <rFont val="Cambria"/>
        <family val="1"/>
      </rPr>
      <t>2026.2.20</t>
    </r>
    <r>
      <rPr>
        <sz val="10"/>
        <rFont val="Noto Sans CJK SC"/>
        <family val="2"/>
        <charset val="1"/>
      </rPr>
      <t>까지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종료</t>
    </r>
    <r>
      <rPr>
        <sz val="10"/>
        <rFont val="Cambria"/>
        <family val="1"/>
      </rPr>
      <t>)</t>
    </r>
  </si>
  <si>
    <t>주소지 동 행정복지센터</t>
  </si>
  <si>
    <t>https://www.ggeco.co.kr/news/article.html?no=319597</t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</si>
  <si>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>년 어르신 안전하우징 사업</t>
    </r>
  </si>
  <si>
    <t>성남시 주택과 주거복지센터</t>
  </si>
  <si>
    <r>
      <rPr>
        <sz val="10"/>
        <rFont val="Cambria"/>
        <family val="1"/>
      </rPr>
      <t>65</t>
    </r>
    <r>
      <rPr>
        <sz val="10"/>
        <rFont val="Noto Sans CJK SC"/>
        <family val="2"/>
        <charset val="1"/>
      </rPr>
      <t>세이상 기초연금 수급자</t>
    </r>
    <r>
      <rPr>
        <sz val="10"/>
        <rFont val="Cambria"/>
        <family val="1"/>
      </rPr>
      <t>, 2026</t>
    </r>
    <r>
      <rPr>
        <sz val="10"/>
        <rFont val="Noto Sans CJK SC"/>
        <family val="2"/>
        <charset val="1"/>
      </rPr>
      <t xml:space="preserve">년 </t>
    </r>
    <r>
      <rPr>
        <sz val="10"/>
        <rFont val="Cambria"/>
        <family val="1"/>
      </rPr>
      <t>21</t>
    </r>
    <r>
      <rPr>
        <sz val="10"/>
        <rFont val="Noto Sans CJK SC"/>
        <family val="2"/>
        <charset val="1"/>
      </rPr>
      <t>가구</t>
    </r>
  </si>
  <si>
    <t>https://m.joongdo.co.kr/view.php?key=20260126010008379</t>
  </si>
  <si>
    <t>화성시</t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</si>
  <si>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>년 햇살하우징 사업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경기도 위탁</t>
    </r>
    <r>
      <rPr>
        <sz val="10"/>
        <rFont val="Cambria"/>
        <family val="1"/>
      </rPr>
      <t xml:space="preserve">, GH </t>
    </r>
    <r>
      <rPr>
        <sz val="10"/>
        <rFont val="Noto Sans CJK SC"/>
        <family val="2"/>
        <charset val="1"/>
      </rPr>
      <t>시행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</si>
  <si>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경기주택도시공사</t>
    </r>
    <r>
      <rPr>
        <sz val="10"/>
        <rFont val="Cambria"/>
        <family val="1"/>
      </rPr>
      <t xml:space="preserve">(GH) </t>
    </r>
    <r>
      <rPr>
        <sz val="10"/>
        <rFont val="Noto Sans CJK SC"/>
        <family val="2"/>
        <charset val="1"/>
      </rPr>
      <t>시행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화성시 읍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면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동 접수</t>
    </r>
  </si>
  <si>
    <r>
      <rPr>
        <sz val="10"/>
        <rFont val="Noto Sans CJK SC"/>
        <family val="2"/>
        <charset val="1"/>
      </rPr>
      <t xml:space="preserve">기준 중위소득 </t>
    </r>
    <r>
      <rPr>
        <sz val="10"/>
        <rFont val="Cambria"/>
        <family val="1"/>
      </rPr>
      <t>50%</t>
    </r>
    <r>
      <rPr>
        <sz val="10"/>
        <rFont val="Noto Sans CJK SC"/>
        <family val="2"/>
        <charset val="1"/>
      </rPr>
      <t>이하 자가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임차 가구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실거주 세대</t>
    </r>
  </si>
  <si>
    <r>
      <rPr>
        <sz val="10"/>
        <rFont val="Noto Sans CJK SC"/>
        <family val="2"/>
        <charset val="1"/>
      </rPr>
      <t xml:space="preserve">가구당 </t>
    </r>
    <r>
      <rPr>
        <sz val="10"/>
        <rFont val="Cambria"/>
        <family val="1"/>
      </rPr>
      <t>500</t>
    </r>
    <r>
      <rPr>
        <sz val="10"/>
        <rFont val="Noto Sans CJK SC"/>
        <family val="2"/>
        <charset val="1"/>
      </rPr>
      <t>만원 이하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재료비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노무비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경비 포함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</si>
  <si>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명시 없음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전액 지원 방식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</si>
  <si>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기밀성 창호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문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벽체단열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보일러 교체</t>
    </r>
    <r>
      <rPr>
        <sz val="10"/>
        <rFont val="Cambria"/>
        <family val="1"/>
      </rPr>
      <t xml:space="preserve">, LED, </t>
    </r>
    <r>
      <rPr>
        <sz val="10"/>
        <rFont val="Noto Sans CJK SC"/>
        <family val="2"/>
        <charset val="1"/>
      </rPr>
      <t>고효율 냉난방기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현지조사 후 항목 확정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</si>
  <si>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화성시 읍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면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동 행정복지센터</t>
    </r>
  </si>
  <si>
    <t>https://www.hscity.go.kr/manse/user/bbs/BD_selectBbs.do?q_bbsCode=1048&amp;q_bbscttSn=20260121152716502</t>
  </si>
  <si>
    <t>화성시 자체 녹색건축물 조성 지원사업</t>
  </si>
  <si>
    <r>
      <rPr>
        <sz val="10"/>
        <rFont val="Noto Sans CJK SC"/>
        <family val="2"/>
        <charset val="1"/>
      </rPr>
      <t>화성시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부서 미확인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</si>
  <si>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확인 불가</t>
    </r>
    <r>
      <rPr>
        <sz val="10"/>
        <rFont val="Cambria"/>
        <family val="1"/>
      </rPr>
      <t>(2018</t>
    </r>
    <r>
      <rPr>
        <sz val="10"/>
        <rFont val="Noto Sans CJK SC"/>
        <family val="2"/>
        <charset val="1"/>
      </rPr>
      <t>년 공고 기준 소유자 대상</t>
    </r>
    <r>
      <rPr>
        <sz val="10"/>
        <rFont val="Cambria"/>
        <family val="1"/>
      </rPr>
      <t>)</t>
    </r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</si>
  <si>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 xml:space="preserve">년 총사업비 </t>
    </r>
    <r>
      <rPr>
        <sz val="10"/>
        <rFont val="Cambria"/>
        <family val="1"/>
      </rPr>
      <t>3</t>
    </r>
    <r>
      <rPr>
        <sz val="10"/>
        <rFont val="Noto Sans CJK SC"/>
        <family val="2"/>
        <charset val="1"/>
      </rPr>
      <t>억원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시의회 확인</t>
    </r>
    <r>
      <rPr>
        <sz val="10"/>
        <rFont val="Cambria"/>
        <family val="1"/>
      </rPr>
      <t>), 2018</t>
    </r>
    <r>
      <rPr>
        <sz val="10"/>
        <rFont val="Noto Sans CJK SC"/>
        <family val="2"/>
        <charset val="1"/>
      </rPr>
      <t xml:space="preserve">년 기준 최대 </t>
    </r>
    <r>
      <rPr>
        <sz val="10"/>
        <rFont val="Cambria"/>
        <family val="1"/>
      </rPr>
      <t>1,000</t>
    </r>
    <r>
      <rPr>
        <sz val="10"/>
        <rFont val="Noto Sans CJK SC"/>
        <family val="2"/>
        <charset val="1"/>
      </rPr>
      <t>만원</t>
    </r>
  </si>
  <si>
    <r>
      <rPr>
        <sz val="10"/>
        <rFont val="Cambria"/>
        <family val="1"/>
      </rPr>
      <t>2018</t>
    </r>
    <r>
      <rPr>
        <sz val="10"/>
        <rFont val="Noto Sans CJK SC"/>
        <family val="2"/>
        <charset val="1"/>
      </rPr>
      <t xml:space="preserve">년 기준 공사비 </t>
    </r>
    <r>
      <rPr>
        <sz val="10"/>
        <rFont val="Cambria"/>
        <family val="1"/>
      </rPr>
      <t>50%(2026</t>
    </r>
    <r>
      <rPr>
        <sz val="10"/>
        <rFont val="Noto Sans CJK SC"/>
        <family val="2"/>
        <charset val="1"/>
      </rPr>
      <t>년 원문 미확인</t>
    </r>
    <r>
      <rPr>
        <sz val="10"/>
        <rFont val="Cambria"/>
        <family val="1"/>
      </rPr>
      <t>)</t>
    </r>
  </si>
  <si>
    <t>확인 불가</t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</si>
  <si>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>년 공고 원문 확인 불가</t>
    </r>
  </si>
  <si>
    <r>
      <rPr>
        <sz val="10"/>
        <rFont val="Noto Sans CJK SC"/>
        <family val="2"/>
        <charset val="1"/>
      </rPr>
      <t>확인 불가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공고 원문 미공개</t>
    </r>
    <r>
      <rPr>
        <sz val="10"/>
        <rFont val="Cambria"/>
        <family val="1"/>
      </rPr>
      <t>)</t>
    </r>
  </si>
  <si>
    <t>https://council.hscity.go.kr/cnts/mnt/mntsViewer.php?mode=spkr1&amp;schSn=7566&amp;spkrCd=MBR9010</t>
  </si>
  <si>
    <t>안양시</t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</si>
  <si>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>년 녹색건축물 조성 보조금 지원사업</t>
    </r>
  </si>
  <si>
    <r>
      <rPr>
        <sz val="10"/>
        <rFont val="Noto Sans CJK SC"/>
        <family val="2"/>
        <charset val="1"/>
      </rPr>
      <t>안양시 건축과 건축행정팀</t>
    </r>
    <r>
      <rPr>
        <sz val="10"/>
        <rFont val="Cambria"/>
        <family val="1"/>
      </rPr>
      <t>(☎031-8045-5678)</t>
    </r>
  </si>
  <si>
    <r>
      <rPr>
        <sz val="10"/>
        <rFont val="Noto Sans CJK SC"/>
        <family val="2"/>
        <charset val="1"/>
      </rPr>
      <t xml:space="preserve">사용승인 </t>
    </r>
    <r>
      <rPr>
        <sz val="10"/>
        <rFont val="Cambria"/>
        <family val="1"/>
      </rPr>
      <t>15</t>
    </r>
    <r>
      <rPr>
        <sz val="10"/>
        <rFont val="Noto Sans CJK SC"/>
        <family val="2"/>
        <charset val="1"/>
      </rPr>
      <t>년이상 주택 소유자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소득기준 없음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참여자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시공업체 지방세 체납 없어야 함</t>
    </r>
  </si>
  <si>
    <r>
      <rPr>
        <sz val="10"/>
        <rFont val="Noto Sans CJK SC"/>
        <family val="2"/>
        <charset val="1"/>
      </rPr>
      <t xml:space="preserve">공사비의 </t>
    </r>
    <r>
      <rPr>
        <sz val="10"/>
        <rFont val="Cambria"/>
        <family val="1"/>
      </rPr>
      <t>50~90%(</t>
    </r>
    <r>
      <rPr>
        <sz val="10"/>
        <rFont val="Noto Sans CJK SC"/>
        <family val="2"/>
        <charset val="1"/>
      </rPr>
      <t>창호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 xml:space="preserve">조명 교체비 최대 </t>
    </r>
    <r>
      <rPr>
        <sz val="10"/>
        <rFont val="Cambria"/>
        <family val="1"/>
      </rPr>
      <t>90%)</t>
    </r>
  </si>
  <si>
    <r>
      <rPr>
        <sz val="10"/>
        <rFont val="Noto Sans CJK SC"/>
        <family val="2"/>
        <charset val="1"/>
      </rPr>
      <t>창호 교체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 xml:space="preserve">에너지소비효율 </t>
    </r>
    <r>
      <rPr>
        <sz val="10"/>
        <rFont val="Cambria"/>
        <family val="1"/>
      </rPr>
      <t>2</t>
    </r>
    <r>
      <rPr>
        <sz val="10"/>
        <rFont val="Noto Sans CJK SC"/>
        <family val="2"/>
        <charset val="1"/>
      </rPr>
      <t>등급이상</t>
    </r>
    <r>
      <rPr>
        <sz val="10"/>
        <rFont val="Cambria"/>
        <family val="1"/>
      </rPr>
      <t xml:space="preserve">), LED </t>
    </r>
    <r>
      <rPr>
        <sz val="10"/>
        <rFont val="Noto Sans CJK SC"/>
        <family val="2"/>
        <charset val="1"/>
      </rPr>
      <t>조명 교체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시공업체는 안양 소재 업체로 한정</t>
    </r>
  </si>
  <si>
    <r>
      <rPr>
        <sz val="10"/>
        <rFont val="Cambria"/>
        <family val="1"/>
      </rPr>
      <t>2026.1.12~1.30(</t>
    </r>
    <r>
      <rPr>
        <sz val="10"/>
        <rFont val="Noto Sans CJK SC"/>
        <family val="2"/>
        <charset val="1"/>
      </rPr>
      <t>종료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</si>
  <si>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 xml:space="preserve">안양시청 </t>
    </r>
    <r>
      <rPr>
        <sz val="10"/>
        <rFont val="Cambria"/>
        <family val="1"/>
      </rPr>
      <t>5</t>
    </r>
    <r>
      <rPr>
        <sz val="10"/>
        <rFont val="Noto Sans CJK SC"/>
        <family val="2"/>
        <charset val="1"/>
      </rPr>
      <t>층 건축과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서면 제출</t>
    </r>
  </si>
  <si>
    <t>https://www.anyang.go.kr/main/emwsWebView.do?key=4101&amp;searchGosiSe=01,04&amp;regiNo=28332&amp;pageUnit=10&amp;pageIndex=1&amp;searchCnd=all&amp;searchKrwd=</t>
  </si>
  <si>
    <t>고양시</t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</si>
  <si>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>년 주택 패시브 리모델링 지원사업</t>
    </r>
  </si>
  <si>
    <r>
      <rPr>
        <sz val="10"/>
        <rFont val="Noto Sans CJK SC"/>
        <family val="2"/>
        <charset val="1"/>
      </rPr>
      <t>고양특례시 건축정책과</t>
    </r>
    <r>
      <rPr>
        <sz val="10"/>
        <rFont val="Cambria"/>
        <family val="1"/>
      </rPr>
      <t>(☎031-8075-2808)</t>
    </r>
  </si>
  <si>
    <r>
      <rPr>
        <sz val="10"/>
        <rFont val="Noto Sans CJK SC"/>
        <family val="2"/>
        <charset val="1"/>
      </rPr>
      <t xml:space="preserve">사용승인 </t>
    </r>
    <r>
      <rPr>
        <sz val="10"/>
        <rFont val="Cambria"/>
        <family val="1"/>
      </rPr>
      <t>15</t>
    </r>
    <r>
      <rPr>
        <sz val="10"/>
        <rFont val="Noto Sans CJK SC"/>
        <family val="2"/>
        <charset val="1"/>
      </rPr>
      <t>년이상 단독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 xml:space="preserve">다가구주택 및 </t>
    </r>
    <r>
      <rPr>
        <sz val="10"/>
        <rFont val="Cambria"/>
        <family val="1"/>
      </rPr>
      <t>19</t>
    </r>
    <r>
      <rPr>
        <sz val="10"/>
        <rFont val="Noto Sans CJK SC"/>
        <family val="2"/>
        <charset val="1"/>
      </rPr>
      <t>세대이하 공동주택</t>
    </r>
  </si>
  <si>
    <r>
      <rPr>
        <sz val="10"/>
        <rFont val="Noto Sans CJK SC"/>
        <family val="2"/>
        <charset val="1"/>
      </rPr>
      <t xml:space="preserve">최대 </t>
    </r>
    <r>
      <rPr>
        <sz val="10"/>
        <rFont val="Cambria"/>
        <family val="1"/>
      </rPr>
      <t>1,000</t>
    </r>
    <r>
      <rPr>
        <sz val="10"/>
        <rFont val="Noto Sans CJK SC"/>
        <family val="2"/>
        <charset val="1"/>
      </rPr>
      <t>만원</t>
    </r>
    <r>
      <rPr>
        <sz val="10"/>
        <rFont val="Cambria"/>
        <family val="1"/>
      </rPr>
      <t>(2026</t>
    </r>
    <r>
      <rPr>
        <sz val="10"/>
        <rFont val="Noto Sans CJK SC"/>
        <family val="2"/>
        <charset val="1"/>
      </rPr>
      <t xml:space="preserve">년 총사업비 </t>
    </r>
    <r>
      <rPr>
        <sz val="10"/>
        <rFont val="Cambria"/>
        <family val="1"/>
      </rPr>
      <t>6,000</t>
    </r>
    <r>
      <rPr>
        <sz val="10"/>
        <rFont val="Noto Sans CJK SC"/>
        <family val="2"/>
        <charset val="1"/>
      </rPr>
      <t>만원</t>
    </r>
    <r>
      <rPr>
        <sz val="10"/>
        <rFont val="Cambria"/>
        <family val="1"/>
      </rPr>
      <t>=</t>
    </r>
    <r>
      <rPr>
        <sz val="10"/>
        <rFont val="Noto Sans CJK SC"/>
        <family val="2"/>
        <charset val="1"/>
      </rPr>
      <t xml:space="preserve">도비 </t>
    </r>
    <r>
      <rPr>
        <sz val="10"/>
        <rFont val="Cambria"/>
        <family val="1"/>
      </rPr>
      <t>3,000</t>
    </r>
    <r>
      <rPr>
        <sz val="10"/>
        <rFont val="Noto Sans CJK SC"/>
        <family val="2"/>
        <charset val="1"/>
      </rPr>
      <t>만원</t>
    </r>
    <r>
      <rPr>
        <sz val="10"/>
        <rFont val="Cambria"/>
        <family val="1"/>
      </rPr>
      <t>+</t>
    </r>
    <r>
      <rPr>
        <sz val="10"/>
        <rFont val="Noto Sans CJK SC"/>
        <family val="2"/>
        <charset val="1"/>
      </rPr>
      <t xml:space="preserve">시비 </t>
    </r>
    <r>
      <rPr>
        <sz val="10"/>
        <rFont val="Cambria"/>
        <family val="1"/>
      </rPr>
      <t>3,000</t>
    </r>
    <r>
      <rPr>
        <sz val="10"/>
        <rFont val="Noto Sans CJK SC"/>
        <family val="2"/>
        <charset val="1"/>
      </rPr>
      <t>만원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 xml:space="preserve">약 </t>
    </r>
    <r>
      <rPr>
        <sz val="10"/>
        <rFont val="Cambria"/>
        <family val="1"/>
      </rPr>
      <t>6</t>
    </r>
    <r>
      <rPr>
        <sz val="10"/>
        <rFont val="Noto Sans CJK SC"/>
        <family val="2"/>
        <charset val="1"/>
      </rPr>
      <t>가구 규모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</si>
  <si>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 xml:space="preserve">공사비의 </t>
    </r>
    <r>
      <rPr>
        <sz val="10"/>
        <rFont val="Cambria"/>
        <family val="1"/>
      </rPr>
      <t xml:space="preserve">50% </t>
    </r>
    <r>
      <rPr>
        <sz val="10"/>
        <rFont val="Noto Sans CJK SC"/>
        <family val="2"/>
        <charset val="1"/>
      </rPr>
      <t>범위 내</t>
    </r>
  </si>
  <si>
    <r>
      <rPr>
        <sz val="10"/>
        <rFont val="Noto Sans CJK SC"/>
        <family val="2"/>
        <charset val="1"/>
      </rPr>
      <t>고성능 창호 교체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건물 내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외부 단열공사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전력저감 우수제품</t>
    </r>
    <r>
      <rPr>
        <sz val="10"/>
        <rFont val="Cambria"/>
        <family val="1"/>
      </rPr>
      <t xml:space="preserve">(LED) </t>
    </r>
    <r>
      <rPr>
        <sz val="10"/>
        <rFont val="Noto Sans CJK SC"/>
        <family val="2"/>
        <charset val="1"/>
      </rPr>
      <t>교체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녹색건축물 조성위원회 심의</t>
    </r>
  </si>
  <si>
    <r>
      <rPr>
        <sz val="10"/>
        <rFont val="Cambria"/>
        <family val="1"/>
      </rPr>
      <t>2026.1.23~2.12(</t>
    </r>
    <r>
      <rPr>
        <sz val="10"/>
        <rFont val="Noto Sans CJK SC"/>
        <family val="2"/>
        <charset val="1"/>
      </rPr>
      <t>종료</t>
    </r>
    <r>
      <rPr>
        <sz val="10"/>
        <rFont val="Cambria"/>
        <family val="1"/>
      </rPr>
      <t>)</t>
    </r>
  </si>
  <si>
    <t>고양시 건축정책과</t>
  </si>
  <si>
    <t>https://www.gybknews.com/8845</t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</si>
  <si>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>년도 소규모 노후주택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공동주택</t>
    </r>
    <r>
      <rPr>
        <sz val="10"/>
        <rFont val="Cambria"/>
        <family val="1"/>
      </rPr>
      <t xml:space="preserve">) </t>
    </r>
    <r>
      <rPr>
        <sz val="10"/>
        <rFont val="Noto Sans CJK SC"/>
        <family val="2"/>
        <charset val="1"/>
      </rPr>
      <t>집수리 지원사업</t>
    </r>
  </si>
  <si>
    <r>
      <rPr>
        <sz val="10"/>
        <rFont val="Noto Sans CJK SC"/>
        <family val="2"/>
        <charset val="1"/>
      </rPr>
      <t>고양특례시 건축정책과</t>
    </r>
    <r>
      <rPr>
        <sz val="10"/>
        <rFont val="Cambria"/>
        <family val="1"/>
      </rPr>
      <t>(☎031-8075-3133)</t>
    </r>
  </si>
  <si>
    <r>
      <rPr>
        <sz val="10"/>
        <rFont val="Noto Sans CJK SC"/>
        <family val="2"/>
        <charset val="1"/>
      </rPr>
      <t xml:space="preserve">사용승인 </t>
    </r>
    <r>
      <rPr>
        <sz val="10"/>
        <rFont val="Cambria"/>
        <family val="1"/>
      </rPr>
      <t>15</t>
    </r>
    <r>
      <rPr>
        <sz val="10"/>
        <rFont val="Noto Sans CJK SC"/>
        <family val="2"/>
        <charset val="1"/>
      </rPr>
      <t>년이상</t>
    </r>
    <r>
      <rPr>
        <sz val="10"/>
        <rFont val="Cambria"/>
        <family val="1"/>
      </rPr>
      <t>, 30</t>
    </r>
    <r>
      <rPr>
        <sz val="10"/>
        <rFont val="Noto Sans CJK SC"/>
        <family val="2"/>
        <charset val="1"/>
      </rPr>
      <t>세대미만 공동주택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아파트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연립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다세대</t>
    </r>
    <r>
      <rPr>
        <sz val="10"/>
        <rFont val="Cambria"/>
        <family val="1"/>
      </rPr>
      <t xml:space="preserve">) </t>
    </r>
    <r>
      <rPr>
        <sz val="10"/>
        <rFont val="Noto Sans CJK SC"/>
        <family val="2"/>
        <charset val="1"/>
      </rPr>
      <t>공용부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의무관리대상 제외</t>
    </r>
  </si>
  <si>
    <r>
      <rPr>
        <sz val="10"/>
        <rFont val="Noto Sans CJK SC"/>
        <family val="2"/>
        <charset val="1"/>
      </rPr>
      <t xml:space="preserve">최대 </t>
    </r>
    <r>
      <rPr>
        <sz val="10"/>
        <rFont val="Cambria"/>
        <family val="1"/>
      </rPr>
      <t>1,600</t>
    </r>
    <r>
      <rPr>
        <sz val="10"/>
        <rFont val="Noto Sans CJK SC"/>
        <family val="2"/>
        <charset val="1"/>
      </rPr>
      <t>만원 이내</t>
    </r>
  </si>
  <si>
    <r>
      <rPr>
        <sz val="10"/>
        <rFont val="Noto Sans CJK SC"/>
        <family val="2"/>
        <charset val="1"/>
      </rPr>
      <t xml:space="preserve">공사비의 </t>
    </r>
    <r>
      <rPr>
        <sz val="10"/>
        <rFont val="Cambria"/>
        <family val="1"/>
      </rPr>
      <t>90%</t>
    </r>
    <r>
      <rPr>
        <sz val="10"/>
        <rFont val="Noto Sans CJK SC"/>
        <family val="2"/>
        <charset val="1"/>
      </rPr>
      <t>까지</t>
    </r>
  </si>
  <si>
    <r>
      <rPr>
        <sz val="10"/>
        <rFont val="Noto Sans CJK SC"/>
        <family val="2"/>
        <charset val="1"/>
      </rPr>
      <t>공용부 집수리공사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경관개선공사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>부대시설 유지보수</t>
    </r>
  </si>
  <si>
    <r>
      <rPr>
        <sz val="10"/>
        <rFont val="Cambria"/>
        <family val="1"/>
      </rPr>
      <t>2026.2.6~3.13(</t>
    </r>
    <r>
      <rPr>
        <sz val="10"/>
        <rFont val="Noto Sans CJK SC"/>
        <family val="2"/>
        <charset val="1"/>
      </rPr>
      <t>종료</t>
    </r>
    <r>
      <rPr>
        <sz val="10"/>
        <rFont val="Cambria"/>
        <family val="1"/>
      </rPr>
      <t>)</t>
    </r>
  </si>
  <si>
    <t>https://www.goyang.go.kr/www/user/bbs/BD_selectBbs.do?q_bbsCode=1030&amp;q_bbscttSn=20260205102832053</t>
  </si>
  <si>
    <r>
      <rPr>
        <sz val="10"/>
        <rFont val="Cambria"/>
        <family val="1"/>
      </rPr>
      <t>2026</t>
    </r>
    <r>
      <rPr>
        <sz val="10"/>
        <rFont val="Noto Sans CJK SC"/>
        <family val="2"/>
        <charset val="1"/>
      </rPr>
      <t>년 새빛주택 지원사업</t>
    </r>
  </si>
  <si>
    <r>
      <rPr>
        <sz val="10"/>
        <rFont val="Noto Sans CJK SC"/>
        <family val="2"/>
        <charset val="1"/>
      </rPr>
      <t xml:space="preserve">서울시 기후환경본부 친환경건물과 </t>
    </r>
    <r>
      <rPr>
        <sz val="10"/>
        <rFont val="Cambria"/>
        <family val="1"/>
      </rPr>
      <t xml:space="preserve">/ </t>
    </r>
    <r>
      <rPr>
        <sz val="10"/>
        <rFont val="Noto Sans CJK SC"/>
        <family val="2"/>
        <charset val="1"/>
      </rPr>
      <t>서울시 저탄소건물지원센터</t>
    </r>
  </si>
  <si>
    <r>
      <rPr>
        <sz val="10"/>
        <rFont val="Noto Sans CJK SC"/>
        <family val="2"/>
        <charset val="1"/>
      </rPr>
      <t xml:space="preserve">서울 소재 사용승인 </t>
    </r>
    <r>
      <rPr>
        <sz val="10"/>
        <rFont val="Cambria"/>
        <family val="1"/>
      </rPr>
      <t>15</t>
    </r>
    <r>
      <rPr>
        <sz val="10"/>
        <rFont val="Noto Sans CJK SC"/>
        <family val="2"/>
        <charset val="1"/>
      </rPr>
      <t>년이상</t>
    </r>
    <r>
      <rPr>
        <sz val="10"/>
        <rFont val="Cambria"/>
        <family val="1"/>
      </rPr>
      <t>+</t>
    </r>
    <r>
      <rPr>
        <sz val="10"/>
        <rFont val="Noto Sans CJK SC"/>
        <family val="2"/>
        <charset val="1"/>
      </rPr>
      <t xml:space="preserve">공시가격 </t>
    </r>
    <r>
      <rPr>
        <sz val="10"/>
        <rFont val="Cambria"/>
        <family val="1"/>
      </rPr>
      <t>3</t>
    </r>
    <r>
      <rPr>
        <sz val="10"/>
        <rFont val="Noto Sans CJK SC"/>
        <family val="2"/>
        <charset val="1"/>
      </rPr>
      <t>억원이하 주택 소유자 또는 소유자 위임 세입자</t>
    </r>
  </si>
  <si>
    <r>
      <rPr>
        <sz val="10"/>
        <rFont val="Noto Sans CJK SC"/>
        <family val="2"/>
        <charset val="1"/>
      </rPr>
      <t>단독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다중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다가구</t>
    </r>
    <r>
      <rPr>
        <sz val="10"/>
        <rFont val="Cambria"/>
        <family val="1"/>
      </rPr>
      <t xml:space="preserve">) </t>
    </r>
    <r>
      <rPr>
        <sz val="10"/>
        <rFont val="Noto Sans CJK SC"/>
        <family val="2"/>
        <charset val="1"/>
      </rPr>
      <t xml:space="preserve">최대 </t>
    </r>
    <r>
      <rPr>
        <sz val="10"/>
        <rFont val="Cambria"/>
        <family val="1"/>
      </rPr>
      <t>500</t>
    </r>
    <r>
      <rPr>
        <sz val="10"/>
        <rFont val="Noto Sans CJK SC"/>
        <family val="2"/>
        <charset val="1"/>
      </rPr>
      <t xml:space="preserve">만원 </t>
    </r>
    <r>
      <rPr>
        <sz val="10"/>
        <rFont val="Cambria"/>
        <family val="1"/>
      </rPr>
      <t xml:space="preserve">/ </t>
    </r>
    <r>
      <rPr>
        <sz val="10"/>
        <rFont val="Noto Sans CJK SC"/>
        <family val="2"/>
        <charset val="1"/>
      </rPr>
      <t>공동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다세대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연립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>아파트</t>
    </r>
    <r>
      <rPr>
        <sz val="10"/>
        <rFont val="Cambria"/>
        <family val="1"/>
      </rPr>
      <t xml:space="preserve">) </t>
    </r>
    <r>
      <rPr>
        <sz val="10"/>
        <rFont val="Noto Sans CJK SC"/>
        <family val="2"/>
        <charset val="1"/>
      </rPr>
      <t xml:space="preserve">최대 </t>
    </r>
    <r>
      <rPr>
        <sz val="10"/>
        <rFont val="Cambria"/>
        <family val="1"/>
      </rPr>
      <t>300</t>
    </r>
    <r>
      <rPr>
        <sz val="10"/>
        <rFont val="Noto Sans CJK SC"/>
        <family val="2"/>
        <charset val="1"/>
      </rPr>
      <t>만원</t>
    </r>
    <r>
      <rPr>
        <sz val="10"/>
        <rFont val="Cambria"/>
        <family val="1"/>
      </rPr>
      <t>(2026</t>
    </r>
    <r>
      <rPr>
        <sz val="10"/>
        <rFont val="Noto Sans CJK SC"/>
        <family val="2"/>
        <charset val="1"/>
      </rPr>
      <t xml:space="preserve">년 예산 </t>
    </r>
    <r>
      <rPr>
        <sz val="10"/>
        <rFont val="Cambria"/>
        <family val="1"/>
      </rPr>
      <t>15</t>
    </r>
    <r>
      <rPr>
        <sz val="10"/>
        <rFont val="Noto Sans CJK SC"/>
        <family val="2"/>
        <charset val="1"/>
      </rPr>
      <t>억원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</si>
  <si>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 xml:space="preserve">순공사비의 </t>
    </r>
    <r>
      <rPr>
        <sz val="10"/>
        <rFont val="Cambria"/>
        <family val="1"/>
      </rPr>
      <t>70%</t>
    </r>
    <r>
      <rPr>
        <sz val="10"/>
        <rFont val="Noto Sans CJK SC"/>
        <family val="2"/>
        <charset val="1"/>
      </rPr>
      <t>이내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기초수급자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 xml:space="preserve">차상위는 </t>
    </r>
    <r>
      <rPr>
        <sz val="10"/>
        <rFont val="Cambria"/>
        <family val="1"/>
      </rPr>
      <t>90%</t>
    </r>
    <r>
      <rPr>
        <sz val="10"/>
        <rFont val="Noto Sans CJK SC"/>
        <family val="2"/>
        <charset val="1"/>
      </rPr>
      <t>까지</t>
    </r>
    <r>
      <rPr>
        <sz val="10"/>
        <rFont val="Cambria"/>
        <family val="1"/>
      </rPr>
      <t>)</t>
    </r>
  </si>
  <si>
    <r>
      <rPr>
        <sz val="10"/>
        <rFont val="Noto Sans CJK SC"/>
        <family val="2"/>
        <charset val="1"/>
      </rPr>
      <t>저효율 창호를 단열창호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 xml:space="preserve">효율 </t>
    </r>
    <r>
      <rPr>
        <sz val="10"/>
        <rFont val="Cambria"/>
        <family val="1"/>
      </rPr>
      <t>1~3</t>
    </r>
    <r>
      <rPr>
        <sz val="10"/>
        <rFont val="Noto Sans CJK SC"/>
        <family val="2"/>
        <charset val="1"/>
      </rPr>
      <t>등급</t>
    </r>
    <r>
      <rPr>
        <sz val="10"/>
        <rFont val="Cambria"/>
        <family val="1"/>
      </rPr>
      <t>)</t>
    </r>
    <r>
      <rPr>
        <sz val="10"/>
        <rFont val="Noto Sans CJK SC"/>
        <family val="2"/>
        <charset val="1"/>
      </rPr>
      <t>로 전량 교체 또는 형광등</t>
    </r>
    <r>
      <rPr>
        <sz val="10"/>
        <rFont val="Cambria"/>
        <family val="1"/>
      </rPr>
      <t>·</t>
    </r>
    <r>
      <rPr>
        <sz val="10"/>
        <rFont val="Noto Sans CJK SC"/>
        <family val="2"/>
        <charset val="1"/>
      </rPr>
      <t xml:space="preserve">백열등을 고효율 </t>
    </r>
    <r>
      <rPr>
        <sz val="10"/>
        <rFont val="Cambria"/>
        <family val="1"/>
      </rPr>
      <t>LED</t>
    </r>
    <r>
      <rPr>
        <sz val="10"/>
        <rFont val="Noto Sans CJK SC"/>
        <family val="2"/>
        <charset val="1"/>
      </rPr>
      <t>로 전량 교체</t>
    </r>
  </si>
  <si>
    <r>
      <rPr>
        <sz val="10"/>
        <rFont val="Cambria"/>
        <family val="1"/>
      </rPr>
      <t xml:space="preserve">2026.2.9~9.30 </t>
    </r>
    <r>
      <rPr>
        <sz val="10"/>
        <rFont val="Noto Sans CJK SC"/>
        <family val="2"/>
        <charset val="1"/>
      </rPr>
      <t>접수 중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 xml:space="preserve">보조금 심의 매월 </t>
    </r>
    <r>
      <rPr>
        <sz val="10"/>
        <rFont val="Cambria"/>
        <family val="1"/>
      </rPr>
      <t>1</t>
    </r>
    <r>
      <rPr>
        <sz val="10"/>
        <rFont val="Noto Sans CJK SC"/>
        <family val="2"/>
        <charset val="1"/>
      </rPr>
      <t>회</t>
    </r>
    <r>
      <rPr>
        <sz val="10"/>
        <rFont val="Cambria"/>
        <family val="1"/>
      </rPr>
      <t xml:space="preserve">, </t>
    </r>
    <r>
      <rPr>
        <sz val="10"/>
        <rFont val="Noto Sans CJK SC"/>
        <family val="2"/>
        <charset val="1"/>
      </rPr>
      <t xml:space="preserve">마지막 </t>
    </r>
    <r>
      <rPr>
        <sz val="10"/>
        <rFont val="Cambria"/>
        <family val="1"/>
      </rPr>
      <t>10.21)</t>
    </r>
  </si>
  <si>
    <r>
      <rPr>
        <sz val="10"/>
        <rFont val="Noto Sans CJK SC"/>
        <family val="2"/>
        <charset val="1"/>
      </rPr>
      <t xml:space="preserve">온라인 </t>
    </r>
    <r>
      <rPr>
        <sz val="10"/>
        <rFont val="Cambria"/>
        <family val="1"/>
      </rPr>
      <t xml:space="preserve">brp.eseoul.go.kr / </t>
    </r>
    <r>
      <rPr>
        <sz val="10"/>
        <rFont val="Noto Sans CJK SC"/>
        <family val="2"/>
        <charset val="1"/>
      </rPr>
      <t>서울시 저탄소건물지원센터</t>
    </r>
    <r>
      <rPr>
        <sz val="10"/>
        <rFont val="Cambria"/>
        <family val="1"/>
      </rPr>
      <t>(</t>
    </r>
    <r>
      <rPr>
        <sz val="10"/>
        <rFont val="Noto Sans CJK SC"/>
        <family val="2"/>
        <charset val="1"/>
      </rPr>
      <t>중구 덕수궁길</t>
    </r>
    <r>
      <rPr>
        <sz val="10"/>
        <rFont val="Cambria"/>
        <family val="1"/>
      </rPr>
      <t>15)</t>
    </r>
  </si>
  <si>
    <r>
      <rPr>
        <sz val="10"/>
        <rFont val="Noto Sans CJK SC"/>
        <family val="2"/>
        <charset val="1"/>
      </rPr>
      <t>접수중</t>
    </r>
    <r>
      <rPr>
        <sz val="10"/>
        <rFont val="Cambria"/>
        <family val="1"/>
      </rPr>
      <t>(2026.9.30</t>
    </r>
    <r>
      <rPr>
        <sz val="10"/>
        <rFont val="Noto Sans CJK SC"/>
        <family val="2"/>
        <charset val="1"/>
      </rPr>
      <t>까지</t>
    </r>
    <r>
      <rPr>
        <sz val="10"/>
        <rFont val="Cambria"/>
        <family val="1"/>
      </rPr>
      <t>, 8</t>
    </r>
    <r>
      <rPr>
        <sz val="10"/>
        <rFont val="Noto Sans CJK SC"/>
        <family val="2"/>
        <charset val="1"/>
      </rPr>
      <t>개 지자체 사업 중 유일하게 진행중</t>
    </r>
    <r>
      <rPr>
        <sz val="10"/>
        <rFont val="Cambria"/>
        <family val="1"/>
      </rPr>
      <t>)</t>
    </r>
  </si>
  <si>
    <t>https://www.seoul.go.kr/news/news_notice.do?bbsNo=277&amp;nttNo=451728 ; https://news.seoul.go.kr/env/archives/567370</t>
  </si>
  <si>
    <r>
      <rPr>
        <b/>
        <sz val="10"/>
        <rFont val="Noto Sans CJK SC"/>
        <family val="2"/>
        <charset val="1"/>
      </rPr>
      <t>범례</t>
    </r>
    <r>
      <rPr>
        <b/>
        <sz val="10"/>
        <rFont val="Cambria"/>
        <family val="1"/>
      </rPr>
      <t>:</t>
    </r>
  </si>
  <si>
    <r>
      <rPr>
        <sz val="9"/>
        <rFont val="Noto Sans CJK SC"/>
        <family val="2"/>
        <charset val="1"/>
      </rPr>
      <t xml:space="preserve">접수중 </t>
    </r>
    <r>
      <rPr>
        <sz val="9"/>
        <rFont val="Cambria"/>
        <family val="1"/>
      </rPr>
      <t xml:space="preserve">/ </t>
    </r>
    <r>
      <rPr>
        <sz val="9"/>
        <rFont val="Noto Sans CJK SC"/>
        <family val="2"/>
        <charset val="1"/>
      </rPr>
      <t>진행 가능성</t>
    </r>
  </si>
  <si>
    <t>접수 종료</t>
  </si>
  <si>
    <r>
      <rPr>
        <sz val="9"/>
        <rFont val="Noto Sans CJK SC"/>
        <family val="2"/>
        <charset val="1"/>
      </rPr>
      <t xml:space="preserve">확인 불가 </t>
    </r>
    <r>
      <rPr>
        <sz val="9"/>
        <rFont val="Cambria"/>
        <family val="1"/>
      </rPr>
      <t xml:space="preserve">/ </t>
    </r>
    <r>
      <rPr>
        <sz val="9"/>
        <rFont val="Noto Sans CJK SC"/>
        <family val="2"/>
        <charset val="1"/>
      </rPr>
      <t>원문 미공개</t>
    </r>
  </si>
  <si>
    <r>
      <rPr>
        <i/>
        <sz val="9"/>
        <color rgb="FF7A7974"/>
        <rFont val="Noto Sans CJK SC"/>
        <family val="2"/>
        <charset val="1"/>
      </rPr>
      <t>주</t>
    </r>
    <r>
      <rPr>
        <i/>
        <sz val="9"/>
        <color rgb="FF7A7974"/>
        <rFont val="Cambria"/>
        <family val="1"/>
      </rPr>
      <t xml:space="preserve">1) </t>
    </r>
    <r>
      <rPr>
        <i/>
        <sz val="9"/>
        <color rgb="FF7A7974"/>
        <rFont val="Noto Sans CJK SC"/>
        <family val="2"/>
        <charset val="1"/>
      </rPr>
      <t>위 표의 모든 값은 각 행 마지막 열</t>
    </r>
    <r>
      <rPr>
        <i/>
        <sz val="9"/>
        <color rgb="FF7A7974"/>
        <rFont val="Cambria"/>
        <family val="1"/>
      </rPr>
      <t>(</t>
    </r>
    <r>
      <rPr>
        <i/>
        <sz val="9"/>
        <color rgb="FF7A7974"/>
        <rFont val="Noto Sans CJK SC"/>
        <family val="2"/>
        <charset val="1"/>
      </rPr>
      <t>출처</t>
    </r>
    <r>
      <rPr>
        <i/>
        <sz val="9"/>
        <color rgb="FF7A7974"/>
        <rFont val="Cambria"/>
        <family val="1"/>
      </rPr>
      <t>)</t>
    </r>
    <r>
      <rPr>
        <i/>
        <sz val="9"/>
        <color rgb="FF7A7974"/>
        <rFont val="Noto Sans CJK SC"/>
        <family val="2"/>
        <charset val="1"/>
      </rPr>
      <t>에 표기된 공식 공고문</t>
    </r>
    <r>
      <rPr>
        <i/>
        <sz val="9"/>
        <color rgb="FF7A7974"/>
        <rFont val="Cambria"/>
        <family val="1"/>
      </rPr>
      <t>·</t>
    </r>
    <r>
      <rPr>
        <i/>
        <sz val="9"/>
        <color rgb="FF7A7974"/>
        <rFont val="Noto Sans CJK SC"/>
        <family val="2"/>
        <charset val="1"/>
      </rPr>
      <t>기관 홈페이지 원문을 확인하여 작성했습니다</t>
    </r>
    <r>
      <rPr>
        <i/>
        <sz val="9"/>
        <color rgb="FF7A7974"/>
        <rFont val="Cambria"/>
        <family val="1"/>
      </rPr>
      <t xml:space="preserve">. </t>
    </r>
    <r>
      <rPr>
        <i/>
        <sz val="9"/>
        <color rgb="FF7A7974"/>
        <rFont val="Noto Sans CJK SC"/>
        <family val="2"/>
        <charset val="1"/>
      </rPr>
      <t xml:space="preserve">원문에 명시되지 않은 항목은 </t>
    </r>
    <r>
      <rPr>
        <i/>
        <sz val="9"/>
        <color rgb="FF7A7974"/>
        <rFont val="Cambria"/>
        <family val="1"/>
      </rPr>
      <t>"</t>
    </r>
    <r>
      <rPr>
        <i/>
        <sz val="9"/>
        <color rgb="FF7A7974"/>
        <rFont val="Noto Sans CJK SC"/>
        <family val="2"/>
        <charset val="1"/>
      </rPr>
      <t>명시 없음</t>
    </r>
    <r>
      <rPr>
        <i/>
        <sz val="9"/>
        <color rgb="FF7A7974"/>
        <rFont val="Cambria"/>
        <family val="1"/>
      </rPr>
      <t xml:space="preserve">" </t>
    </r>
    <r>
      <rPr>
        <i/>
        <sz val="9"/>
        <color rgb="FF7A7974"/>
        <rFont val="Noto Sans CJK SC"/>
        <family val="2"/>
        <charset val="1"/>
      </rPr>
      <t xml:space="preserve">또는 </t>
    </r>
    <r>
      <rPr>
        <i/>
        <sz val="9"/>
        <color rgb="FF7A7974"/>
        <rFont val="Cambria"/>
        <family val="1"/>
      </rPr>
      <t>"</t>
    </r>
    <r>
      <rPr>
        <i/>
        <sz val="9"/>
        <color rgb="FF7A7974"/>
        <rFont val="Noto Sans CJK SC"/>
        <family val="2"/>
        <charset val="1"/>
      </rPr>
      <t>확인 불가</t>
    </r>
    <r>
      <rPr>
        <i/>
        <sz val="9"/>
        <color rgb="FF7A7974"/>
        <rFont val="Cambria"/>
        <family val="1"/>
      </rPr>
      <t>"</t>
    </r>
    <r>
      <rPr>
        <i/>
        <sz val="9"/>
        <color rgb="FF7A7974"/>
        <rFont val="Noto Sans CJK SC"/>
        <family val="2"/>
        <charset val="1"/>
      </rPr>
      <t>로 표기했습니다</t>
    </r>
    <r>
      <rPr>
        <i/>
        <sz val="9"/>
        <color rgb="FF7A7974"/>
        <rFont val="Cambria"/>
        <family val="1"/>
      </rPr>
      <t xml:space="preserve">.
</t>
    </r>
    <r>
      <rPr>
        <i/>
        <sz val="9"/>
        <color rgb="FF7A7974"/>
        <rFont val="Noto Sans CJK SC"/>
        <family val="2"/>
        <charset val="1"/>
      </rPr>
      <t>주</t>
    </r>
    <r>
      <rPr>
        <i/>
        <sz val="9"/>
        <color rgb="FF7A7974"/>
        <rFont val="Cambria"/>
        <family val="1"/>
      </rPr>
      <t xml:space="preserve">2) </t>
    </r>
    <r>
      <rPr>
        <i/>
        <sz val="9"/>
        <color rgb="FF7A7974"/>
        <rFont val="Noto Sans CJK SC"/>
        <family val="2"/>
        <charset val="1"/>
      </rPr>
      <t>시</t>
    </r>
    <r>
      <rPr>
        <i/>
        <sz val="9"/>
        <color rgb="FF7A7974"/>
        <rFont val="Cambria"/>
        <family val="1"/>
      </rPr>
      <t>·</t>
    </r>
    <r>
      <rPr>
        <i/>
        <sz val="9"/>
        <color rgb="FF7A7974"/>
        <rFont val="Noto Sans CJK SC"/>
        <family val="2"/>
        <charset val="1"/>
      </rPr>
      <t>군별 자부담 비율</t>
    </r>
    <r>
      <rPr>
        <i/>
        <sz val="9"/>
        <color rgb="FF7A7974"/>
        <rFont val="Cambria"/>
        <family val="1"/>
      </rPr>
      <t>·</t>
    </r>
    <r>
      <rPr>
        <i/>
        <sz val="9"/>
        <color rgb="FF7A7974"/>
        <rFont val="Noto Sans CJK SC"/>
        <family val="2"/>
        <charset val="1"/>
      </rPr>
      <t>매칭비율은 지자체마다 상이할 수 있으므로 신청 전 해당 지자체 공고문을 반드시 재확인하시기 바랍니다</t>
    </r>
    <r>
      <rPr>
        <i/>
        <sz val="9"/>
        <color rgb="FF7A7974"/>
        <rFont val="Cambria"/>
        <family val="1"/>
      </rPr>
      <t xml:space="preserve">.
</t>
    </r>
    <r>
      <rPr>
        <i/>
        <sz val="9"/>
        <color rgb="FF7A7974"/>
        <rFont val="Noto Sans CJK SC"/>
        <family val="2"/>
        <charset val="1"/>
      </rPr>
      <t>주</t>
    </r>
    <r>
      <rPr>
        <i/>
        <sz val="9"/>
        <color rgb="FF7A7974"/>
        <rFont val="Cambria"/>
        <family val="1"/>
      </rPr>
      <t xml:space="preserve">3) </t>
    </r>
    <r>
      <rPr>
        <i/>
        <sz val="9"/>
        <color rgb="FF7A7974"/>
        <rFont val="Noto Sans CJK SC"/>
        <family val="2"/>
        <charset val="1"/>
      </rPr>
      <t xml:space="preserve">접수상태는 </t>
    </r>
    <r>
      <rPr>
        <i/>
        <sz val="9"/>
        <color rgb="FF7A7974"/>
        <rFont val="Cambria"/>
        <family val="1"/>
      </rPr>
      <t>2026</t>
    </r>
    <r>
      <rPr>
        <i/>
        <sz val="9"/>
        <color rgb="FF7A7974"/>
        <rFont val="Noto Sans CJK SC"/>
        <family val="2"/>
        <charset val="1"/>
      </rPr>
      <t xml:space="preserve">년 </t>
    </r>
    <r>
      <rPr>
        <i/>
        <sz val="9"/>
        <color rgb="FF7A7974"/>
        <rFont val="Cambria"/>
        <family val="1"/>
      </rPr>
      <t>9</t>
    </r>
    <r>
      <rPr>
        <i/>
        <sz val="9"/>
        <color rgb="FF7A7974"/>
        <rFont val="Noto Sans CJK SC"/>
        <family val="2"/>
        <charset val="1"/>
      </rPr>
      <t xml:space="preserve">월 </t>
    </r>
    <r>
      <rPr>
        <i/>
        <sz val="9"/>
        <color rgb="FF7A7974"/>
        <rFont val="Cambria"/>
        <family val="1"/>
      </rPr>
      <t>8</t>
    </r>
    <r>
      <rPr>
        <i/>
        <sz val="9"/>
        <color rgb="FF7A7974"/>
        <rFont val="Noto Sans CJK SC"/>
        <family val="2"/>
        <charset val="1"/>
      </rPr>
      <t>일 기준이며</t>
    </r>
    <r>
      <rPr>
        <i/>
        <sz val="9"/>
        <color rgb="FF7A7974"/>
        <rFont val="Cambria"/>
        <family val="1"/>
      </rPr>
      <t xml:space="preserve">, </t>
    </r>
    <r>
      <rPr>
        <i/>
        <sz val="9"/>
        <color rgb="FF7A7974"/>
        <rFont val="Noto Sans CJK SC"/>
        <family val="2"/>
        <charset val="1"/>
      </rPr>
      <t>예산 소진 등으로 조기 마감될 수 있습니다</t>
    </r>
    <r>
      <rPr>
        <i/>
        <sz val="9"/>
        <color rgb="FF7A7974"/>
        <rFont val="Cambria"/>
        <family val="1"/>
      </rPr>
      <t>. 6</t>
    </r>
    <r>
      <rPr>
        <i/>
        <sz val="9"/>
        <color rgb="FF7A7974"/>
        <rFont val="Noto Sans CJK SC"/>
        <family val="2"/>
        <charset val="1"/>
      </rPr>
      <t>번</t>
    </r>
    <r>
      <rPr>
        <i/>
        <sz val="9"/>
        <color rgb="FF7A7974"/>
        <rFont val="Cambria"/>
        <family val="1"/>
      </rPr>
      <t>(</t>
    </r>
    <r>
      <rPr>
        <i/>
        <sz val="9"/>
        <color rgb="FF7A7974"/>
        <rFont val="Noto Sans CJK SC"/>
        <family val="2"/>
        <charset val="1"/>
      </rPr>
      <t>저소득층 에너지효율개선</t>
    </r>
    <r>
      <rPr>
        <i/>
        <sz val="9"/>
        <color rgb="FF7A7974"/>
        <rFont val="Cambria"/>
        <family val="1"/>
      </rPr>
      <t>)</t>
    </r>
    <r>
      <rPr>
        <i/>
        <sz val="9"/>
        <color rgb="FF7A7974"/>
        <rFont val="Noto Sans CJK SC"/>
        <family val="2"/>
        <charset val="1"/>
      </rPr>
      <t>은 난방 부문만 진행중이며 냉방은 종료되었습니다</t>
    </r>
    <r>
      <rPr>
        <i/>
        <sz val="9"/>
        <color rgb="FF7A7974"/>
        <rFont val="Cambria"/>
        <family val="1"/>
      </rPr>
      <t>.</t>
    </r>
  </si>
  <si>
    <r>
      <rPr>
        <b/>
        <sz val="13"/>
        <rFont val="Noto Sans CJK SC"/>
        <family val="2"/>
        <charset val="1"/>
      </rPr>
      <t>지역</t>
    </r>
    <r>
      <rPr>
        <b/>
        <sz val="13"/>
        <rFont val="Cambria"/>
        <family val="1"/>
      </rPr>
      <t>·</t>
    </r>
    <r>
      <rPr>
        <b/>
        <sz val="13"/>
        <rFont val="Noto Sans CJK SC"/>
        <family val="2"/>
        <charset val="1"/>
      </rPr>
      <t>상태별 사업 현황 요약</t>
    </r>
  </si>
  <si>
    <t>사업 수</t>
  </si>
  <si>
    <t>접수중</t>
  </si>
  <si>
    <r>
      <rPr>
        <sz val="11"/>
        <color theme="1"/>
        <rFont val="Noto Sans CJK SC"/>
        <family val="2"/>
        <charset val="1"/>
      </rPr>
      <t>경기도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  <charset val="1"/>
      </rPr>
      <t>광역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</si>
  <si>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  <charset val="1"/>
      </rPr>
      <t>서울시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  <charset val="1"/>
      </rPr>
      <t>참고</t>
    </r>
    <r>
      <rPr>
        <sz val="11"/>
        <color theme="1"/>
        <rFont val="Calibri"/>
        <family val="2"/>
        <charset val="1"/>
      </rPr>
      <t>)</t>
    </r>
  </si>
  <si>
    <t>합계</t>
  </si>
  <si>
    <r>
      <rPr>
        <b/>
        <sz val="11"/>
        <rFont val="Cambria"/>
        <family val="1"/>
      </rPr>
      <t>2026</t>
    </r>
    <r>
      <rPr>
        <b/>
        <sz val="11"/>
        <rFont val="Noto Sans CJK SC"/>
        <family val="2"/>
        <charset val="1"/>
      </rPr>
      <t xml:space="preserve">년 </t>
    </r>
    <r>
      <rPr>
        <b/>
        <sz val="11"/>
        <rFont val="Cambria"/>
        <family val="1"/>
      </rPr>
      <t>9</t>
    </r>
    <r>
      <rPr>
        <b/>
        <sz val="11"/>
        <rFont val="Noto Sans CJK SC"/>
        <family val="2"/>
        <charset val="1"/>
      </rPr>
      <t xml:space="preserve">월 </t>
    </r>
    <r>
      <rPr>
        <b/>
        <sz val="11"/>
        <rFont val="Cambria"/>
        <family val="1"/>
      </rPr>
      <t>8</t>
    </r>
    <r>
      <rPr>
        <b/>
        <sz val="11"/>
        <rFont val="Noto Sans CJK SC"/>
        <family val="2"/>
        <charset val="1"/>
      </rPr>
      <t>일 기준</t>
    </r>
    <r>
      <rPr>
        <b/>
        <sz val="11"/>
        <rFont val="Cambria"/>
        <family val="1"/>
      </rPr>
      <t xml:space="preserve">, </t>
    </r>
    <r>
      <rPr>
        <b/>
        <sz val="11"/>
        <rFont val="Noto Sans CJK SC"/>
        <family val="2"/>
        <charset val="1"/>
      </rPr>
      <t>현재 접수 중이거나 접수 가능성이 있는 사업</t>
    </r>
  </si>
  <si>
    <t>사업명</t>
  </si>
  <si>
    <r>
      <rPr>
        <sz val="11"/>
        <color theme="1"/>
        <rFont val="Calibri"/>
        <family val="2"/>
        <charset val="1"/>
      </rPr>
      <t>2026</t>
    </r>
    <r>
      <rPr>
        <sz val="11"/>
        <color theme="1"/>
        <rFont val="Noto Sans CJK SC"/>
        <family val="2"/>
        <charset val="1"/>
      </rPr>
      <t>년 민간건축물 그린리모델링 컨설팅 지원사업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  <charset val="1"/>
      </rPr>
      <t>제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  <charset val="1"/>
      </rPr>
      <t>차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</si>
  <si>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  <charset val="1"/>
      </rPr>
      <t xml:space="preserve">이메일 </t>
    </r>
    <r>
      <rPr>
        <sz val="11"/>
        <color theme="1"/>
        <rFont val="Calibri"/>
        <family val="2"/>
        <charset val="1"/>
      </rPr>
      <t xml:space="preserve">gr_kalis@kalis.or.kr, </t>
    </r>
    <r>
      <rPr>
        <sz val="11"/>
        <color theme="1"/>
        <rFont val="Noto Sans CJK SC"/>
        <family val="2"/>
        <charset val="1"/>
      </rPr>
      <t>국토안전관리원 ☎</t>
    </r>
    <r>
      <rPr>
        <sz val="11"/>
        <color theme="1"/>
        <rFont val="Calibri"/>
        <family val="2"/>
        <charset val="1"/>
      </rPr>
      <t>055-771-4749/4907/4883  |  2026.7.1(2</t>
    </r>
    <r>
      <rPr>
        <sz val="11"/>
        <color theme="1"/>
        <rFont val="Noto Sans CJK SC"/>
        <family val="2"/>
        <charset val="1"/>
      </rPr>
      <t>차</t>
    </r>
    <r>
      <rPr>
        <sz val="11"/>
        <color theme="1"/>
        <rFont val="Calibri"/>
        <family val="2"/>
        <charset val="1"/>
      </rPr>
      <t>)~</t>
    </r>
    <r>
      <rPr>
        <sz val="11"/>
        <color theme="1"/>
        <rFont val="Noto Sans CJK SC"/>
        <family val="2"/>
        <charset val="1"/>
      </rPr>
      <t>예산 소진 시까지</t>
    </r>
  </si>
  <si>
    <r>
      <rPr>
        <sz val="11"/>
        <color theme="1"/>
        <rFont val="Calibri"/>
        <family val="2"/>
        <charset val="1"/>
      </rPr>
      <t>2026</t>
    </r>
    <r>
      <rPr>
        <sz val="11"/>
        <color theme="1"/>
        <rFont val="Noto Sans CJK SC"/>
        <family val="2"/>
        <charset val="1"/>
      </rPr>
      <t>년 민간건축물 그린리모델링 이자지원 사업</t>
    </r>
  </si>
  <si>
    <r>
      <rPr>
        <sz val="11"/>
        <color theme="1"/>
        <rFont val="Noto Sans CJK SC"/>
        <family val="2"/>
        <charset val="1"/>
      </rPr>
      <t>등록 그린리모델링 사업자를 통해 신청</t>
    </r>
    <r>
      <rPr>
        <sz val="11"/>
        <color theme="1"/>
        <rFont val="Calibri"/>
        <family val="2"/>
        <charset val="1"/>
      </rPr>
      <t xml:space="preserve">, greenremodeling.or.kr  |  </t>
    </r>
    <r>
      <rPr>
        <sz val="11"/>
        <color theme="1"/>
        <rFont val="Noto Sans CJK SC"/>
        <family val="2"/>
        <charset val="1"/>
      </rPr>
      <t>상시 접수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  <charset val="1"/>
      </rPr>
      <t xml:space="preserve">총예산 </t>
    </r>
    <r>
      <rPr>
        <sz val="11"/>
        <color theme="1"/>
        <rFont val="Calibri"/>
        <family val="2"/>
        <charset val="1"/>
      </rPr>
      <t>80</t>
    </r>
    <r>
      <rPr>
        <sz val="11"/>
        <color theme="1"/>
        <rFont val="Noto Sans CJK SC"/>
        <family val="2"/>
        <charset val="1"/>
      </rPr>
      <t>억원 소진 시 종료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</si>
  <si>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>2026</t>
    </r>
    <r>
      <rPr>
        <sz val="11"/>
        <color theme="1"/>
        <rFont val="Noto Sans CJK SC"/>
        <family val="2"/>
        <charset val="1"/>
      </rPr>
      <t>년 저소득층 에너지효율개선사업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  <charset val="1"/>
      </rPr>
      <t>난방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  <charset val="1"/>
      </rPr>
      <t>냉방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</si>
  <si>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  <charset val="1"/>
      </rPr>
      <t>주소지 읍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  <charset val="1"/>
      </rPr>
      <t>면</t>
    </r>
    <r>
      <rPr>
        <sz val="11"/>
        <color theme="1"/>
        <rFont val="Calibri"/>
        <family val="2"/>
        <charset val="1"/>
      </rPr>
      <t>·</t>
    </r>
    <r>
      <rPr>
        <sz val="11"/>
        <color theme="1"/>
        <rFont val="Noto Sans CJK SC"/>
        <family val="2"/>
        <charset val="1"/>
      </rPr>
      <t xml:space="preserve">동 행정복지센터 방문 신청  </t>
    </r>
    <r>
      <rPr>
        <sz val="11"/>
        <color theme="1"/>
        <rFont val="Calibri"/>
        <family val="2"/>
        <charset val="1"/>
      </rPr>
      <t xml:space="preserve">|  </t>
    </r>
    <r>
      <rPr>
        <sz val="11"/>
        <color theme="1"/>
        <rFont val="Noto Sans CJK SC"/>
        <family val="2"/>
        <charset val="1"/>
      </rPr>
      <t xml:space="preserve">냉방 접수 </t>
    </r>
    <r>
      <rPr>
        <sz val="11"/>
        <color theme="1"/>
        <rFont val="Calibri"/>
        <family val="2"/>
        <charset val="1"/>
      </rPr>
      <t>2026.3.3~3.27(</t>
    </r>
    <r>
      <rPr>
        <sz val="11"/>
        <color theme="1"/>
        <rFont val="Noto Sans CJK SC"/>
        <family val="2"/>
        <charset val="1"/>
      </rPr>
      <t>마감</t>
    </r>
    <r>
      <rPr>
        <sz val="11"/>
        <color theme="1"/>
        <rFont val="Calibri"/>
        <family val="2"/>
        <charset val="1"/>
      </rPr>
      <t xml:space="preserve">) / </t>
    </r>
    <r>
      <rPr>
        <sz val="11"/>
        <color theme="1"/>
        <rFont val="Noto Sans CJK SC"/>
        <family val="2"/>
        <charset val="1"/>
      </rPr>
      <t xml:space="preserve">난방 </t>
    </r>
    <r>
      <rPr>
        <sz val="11"/>
        <color theme="1"/>
        <rFont val="Calibri"/>
        <family val="2"/>
        <charset val="1"/>
      </rPr>
      <t>2026.3.3~</t>
    </r>
    <r>
      <rPr>
        <sz val="11"/>
        <color theme="1"/>
        <rFont val="Noto Sans CJK SC"/>
        <family val="2"/>
        <charset val="1"/>
      </rPr>
      <t>예산 소진 시까지 상시</t>
    </r>
  </si>
  <si>
    <r>
      <rPr>
        <sz val="11"/>
        <color theme="1"/>
        <rFont val="Noto Sans CJK SC"/>
        <family val="2"/>
        <charset val="1"/>
      </rPr>
      <t>한국에너지공단 자금융자실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  <charset val="1"/>
      </rPr>
      <t xml:space="preserve">자금융자처  </t>
    </r>
    <r>
      <rPr>
        <sz val="11"/>
        <color theme="1"/>
        <rFont val="Calibri"/>
        <family val="2"/>
        <charset val="1"/>
      </rPr>
      <t xml:space="preserve">|  </t>
    </r>
    <r>
      <rPr>
        <sz val="11"/>
        <color theme="1"/>
        <rFont val="Noto Sans CJK SC"/>
        <family val="2"/>
        <charset val="1"/>
      </rPr>
      <t xml:space="preserve">매월 </t>
    </r>
    <r>
      <rPr>
        <sz val="11"/>
        <color theme="1"/>
        <rFont val="Calibri"/>
        <family val="2"/>
        <charset val="1"/>
      </rPr>
      <t>1~7</t>
    </r>
    <r>
      <rPr>
        <sz val="11"/>
        <color theme="1"/>
        <rFont val="Noto Sans CJK SC"/>
        <family val="2"/>
        <charset val="1"/>
      </rPr>
      <t>일 접수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  <charset val="1"/>
      </rPr>
      <t>연중 상시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</si>
  <si>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>2026</t>
    </r>
    <r>
      <rPr>
        <sz val="11"/>
        <color theme="1"/>
        <rFont val="Noto Sans CJK SC"/>
        <family val="2"/>
        <charset val="1"/>
      </rPr>
      <t>년 건물에너지효율화</t>
    </r>
    <r>
      <rPr>
        <sz val="11"/>
        <color theme="1"/>
        <rFont val="Calibri"/>
        <family val="2"/>
        <charset val="1"/>
      </rPr>
      <t xml:space="preserve">(BRP) </t>
    </r>
    <r>
      <rPr>
        <sz val="11"/>
        <color theme="1"/>
        <rFont val="Noto Sans CJK SC"/>
        <family val="2"/>
        <charset val="1"/>
      </rPr>
      <t>융자지원사업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  <charset val="1"/>
      </rPr>
      <t>건물부문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</si>
  <si>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  <charset val="1"/>
      </rPr>
      <t>서울시 저탄소건물지원센터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  <charset val="1"/>
      </rPr>
      <t xml:space="preserve">온라인 신청 가능  </t>
    </r>
    <r>
      <rPr>
        <sz val="11"/>
        <color theme="1"/>
        <rFont val="Calibri"/>
        <family val="2"/>
        <charset val="1"/>
      </rPr>
      <t>|  2026.2.2~11.13</t>
    </r>
  </si>
  <si>
    <r>
      <rPr>
        <sz val="11"/>
        <color theme="1"/>
        <rFont val="Calibri"/>
        <family val="2"/>
        <charset val="1"/>
      </rPr>
      <t>2026</t>
    </r>
    <r>
      <rPr>
        <sz val="11"/>
        <color theme="1"/>
        <rFont val="Noto Sans CJK SC"/>
        <family val="2"/>
        <charset val="1"/>
      </rPr>
      <t>년 주거취약계층 클린서비스 사업</t>
    </r>
  </si>
  <si>
    <r>
      <rPr>
        <sz val="11"/>
        <color theme="1"/>
        <rFont val="Noto Sans CJK SC"/>
        <family val="2"/>
        <charset val="1"/>
      </rPr>
      <t xml:space="preserve">수원도시재단  </t>
    </r>
    <r>
      <rPr>
        <sz val="11"/>
        <color theme="1"/>
        <rFont val="Calibri"/>
        <family val="2"/>
        <charset val="1"/>
      </rPr>
      <t>|  2026.6.8~</t>
    </r>
    <r>
      <rPr>
        <sz val="11"/>
        <color theme="1"/>
        <rFont val="Noto Sans CJK SC"/>
        <family val="2"/>
        <charset val="1"/>
      </rPr>
      <t>예산 소진 시까지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  <charset val="1"/>
      </rPr>
      <t>상시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</si>
  <si>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Noto Sans CJK SC"/>
        <family val="2"/>
        <charset val="1"/>
      </rPr>
      <t>가정용 친환경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  <charset val="1"/>
      </rPr>
      <t>콘덴싱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  <charset val="1"/>
      </rPr>
      <t>보일러 설치 지원 사업</t>
    </r>
  </si>
  <si>
    <r>
      <rPr>
        <sz val="11"/>
        <color theme="1"/>
        <rFont val="Noto Sans CJK SC"/>
        <family val="2"/>
        <charset val="1"/>
      </rPr>
      <t xml:space="preserve">김포시 기후에너지과  </t>
    </r>
    <r>
      <rPr>
        <sz val="11"/>
        <color theme="1"/>
        <rFont val="Calibri"/>
        <family val="2"/>
        <charset val="1"/>
      </rPr>
      <t xml:space="preserve">|  </t>
    </r>
    <r>
      <rPr>
        <sz val="11"/>
        <color theme="1"/>
        <rFont val="Noto Sans CJK SC"/>
        <family val="2"/>
        <charset val="1"/>
      </rPr>
      <t>연중 상시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  <charset val="1"/>
      </rPr>
      <t>예산 소진 시까지</t>
    </r>
    <r>
      <rPr>
        <sz val="11"/>
        <color theme="1"/>
        <rFont val="Calibri"/>
        <family val="2"/>
        <charset val="1"/>
      </rPr>
      <t>)</t>
    </r>
  </si>
  <si>
    <r>
      <rPr>
        <sz val="11"/>
        <color theme="1"/>
        <rFont val="Calibri"/>
        <family val="2"/>
        <charset val="1"/>
      </rPr>
      <t>2026</t>
    </r>
    <r>
      <rPr>
        <sz val="11"/>
        <color theme="1"/>
        <rFont val="Noto Sans CJK SC"/>
        <family val="2"/>
        <charset val="1"/>
      </rPr>
      <t>년 새빛주택 지원사업</t>
    </r>
  </si>
  <si>
    <r>
      <rPr>
        <sz val="11"/>
        <color theme="1"/>
        <rFont val="Noto Sans CJK SC"/>
        <family val="2"/>
        <charset val="1"/>
      </rPr>
      <t xml:space="preserve">온라인 </t>
    </r>
    <r>
      <rPr>
        <sz val="11"/>
        <color theme="1"/>
        <rFont val="Calibri"/>
        <family val="2"/>
        <charset val="1"/>
      </rPr>
      <t xml:space="preserve">brp.eseoul.go.kr / </t>
    </r>
    <r>
      <rPr>
        <sz val="11"/>
        <color theme="1"/>
        <rFont val="Noto Sans CJK SC"/>
        <family val="2"/>
        <charset val="1"/>
      </rPr>
      <t>서울시 저탄소건물지원센터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  <charset val="1"/>
      </rPr>
      <t>중구 덕수궁길</t>
    </r>
    <r>
      <rPr>
        <sz val="11"/>
        <color theme="1"/>
        <rFont val="Calibri"/>
        <family val="2"/>
        <charset val="1"/>
      </rPr>
      <t xml:space="preserve">15)  |  2026.2.9~9.30 </t>
    </r>
    <r>
      <rPr>
        <sz val="11"/>
        <color theme="1"/>
        <rFont val="Noto Sans CJK SC"/>
        <family val="2"/>
        <charset val="1"/>
      </rPr>
      <t>접수 중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 CJK SC"/>
        <family val="2"/>
        <charset val="1"/>
      </rPr>
      <t xml:space="preserve">보조금 심의 매월 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  <charset val="1"/>
      </rPr>
      <t>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  <charset val="1"/>
      </rPr>
      <t xml:space="preserve">마지막 </t>
    </r>
    <r>
      <rPr>
        <sz val="11"/>
        <color theme="1"/>
        <rFont val="Calibri"/>
        <family val="2"/>
        <charset val="1"/>
      </rPr>
      <t>10.21)</t>
    </r>
  </si>
  <si>
    <t>전국</t>
    <phoneticPr fontId="17" type="noConversion"/>
  </si>
  <si>
    <t xml:space="preserve">서울시 </t>
    <phoneticPr fontId="17" type="noConversion"/>
  </si>
  <si>
    <r>
      <rPr>
        <sz val="10"/>
        <rFont val="돋움"/>
        <family val="3"/>
        <charset val="129"/>
      </rPr>
      <t>서울시</t>
    </r>
    <r>
      <rPr>
        <sz val="10"/>
        <rFont val="Noto Sans CJK SC"/>
        <family val="2"/>
        <charset val="1"/>
      </rPr>
      <t xml:space="preserve"> </t>
    </r>
    <phoneticPr fontId="17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</si>
</sst>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charset val="1"/>
    </font>
    <font>
      <b/>
      <sz val="13"/>
      <name val="Noto Sans CJK SC"/>
      <family val="2"/>
      <charset val="1"/>
    </font>
    <font>
      <b/>
      <sz val="13"/>
      <name val="Cambria"/>
      <family val="1"/>
    </font>
    <font>
      <b/>
      <sz val="11"/>
      <color rgb="FFFFFFFF"/>
      <name val="Noto Sans CJK SC"/>
      <family val="2"/>
      <charset val="1"/>
    </font>
    <font>
      <b/>
      <sz val="11"/>
      <color rgb="FFFFFFFF"/>
      <name val="Cambria"/>
      <family val="1"/>
    </font>
    <font>
      <sz val="10"/>
      <name val="Cambria"/>
      <family val="1"/>
    </font>
    <font>
      <sz val="10"/>
      <name val="Noto Sans CJK SC"/>
      <family val="2"/>
      <charset val="1"/>
    </font>
    <font>
      <u/>
      <sz val="9"/>
      <color rgb="FF01696F"/>
      <name val="Cambria"/>
      <family val="1"/>
    </font>
    <font>
      <b/>
      <sz val="10"/>
      <name val="Noto Sans CJK SC"/>
      <family val="2"/>
      <charset val="1"/>
    </font>
    <font>
      <b/>
      <sz val="10"/>
      <name val="Cambria"/>
      <family val="1"/>
    </font>
    <font>
      <sz val="9"/>
      <name val="Cambria"/>
      <family val="1"/>
    </font>
    <font>
      <sz val="9"/>
      <name val="Noto Sans CJK SC"/>
      <family val="2"/>
      <charset val="1"/>
    </font>
    <font>
      <i/>
      <sz val="9"/>
      <color rgb="FF7A7974"/>
      <name val="Noto Sans CJK SC"/>
      <family val="2"/>
      <charset val="1"/>
    </font>
    <font>
      <i/>
      <sz val="9"/>
      <color rgb="FF7A7974"/>
      <name val="Cambria"/>
      <family val="1"/>
    </font>
    <font>
      <sz val="11"/>
      <color theme="1"/>
      <name val="Noto Sans CJK SC"/>
      <family val="2"/>
      <charset val="1"/>
    </font>
    <font>
      <b/>
      <sz val="11"/>
      <name val="Noto Sans CJK SC"/>
      <family val="2"/>
      <charset val="1"/>
    </font>
    <font>
      <b/>
      <sz val="11"/>
      <name val="Cambria"/>
      <family val="1"/>
    </font>
    <font>
      <sz val="8"/>
      <name val="돋움"/>
      <family val="3"/>
      <charset val="129"/>
    </font>
    <font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E4F3EC"/>
        <bgColor rgb="FFFBF3D9"/>
      </patternFill>
    </fill>
    <fill>
      <patternFill patternType="solid">
        <fgColor rgb="FFF3E4E4"/>
        <bgColor rgb="FFFBF3D9"/>
      </patternFill>
    </fill>
    <fill>
      <patternFill patternType="solid">
        <fgColor rgb="FFFBF3D9"/>
        <bgColor rgb="FFF3E4E4"/>
      </patternFill>
    </fill>
  </fills>
  <borders count="3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4" fillId="0" borderId="0" xfId="0" applyFont="1" applyBorder="1" applyAlignment="1" applyProtection="1">
      <alignment vertical="top" wrapText="1"/>
    </xf>
    <xf numFmtId="0" fontId="3" fillId="2" borderId="0" xfId="0" applyFont="1" applyFill="1" applyBorder="1" applyAlignment="1" applyProtection="1"/>
    <xf numFmtId="0" fontId="12" fillId="0" borderId="0" xfId="0" applyFont="1" applyBorder="1" applyAlignment="1" applyProtection="1">
      <alignment vertical="top" wrapText="1"/>
    </xf>
    <xf numFmtId="0" fontId="0" fillId="0" borderId="0" xfId="0" applyAlignment="1" applyProtection="1"/>
    <xf numFmtId="0" fontId="1" fillId="0" borderId="0" xfId="0" applyFont="1" applyAlignment="1" applyProtection="1"/>
    <xf numFmtId="0" fontId="3" fillId="2" borderId="0" xfId="0" applyFont="1" applyFill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top"/>
    </xf>
    <xf numFmtId="0" fontId="6" fillId="0" borderId="1" xfId="0" applyFont="1" applyBorder="1" applyAlignment="1" applyProtection="1">
      <alignment horizontal="left" vertical="top" wrapText="1"/>
    </xf>
    <xf numFmtId="0" fontId="5" fillId="0" borderId="1" xfId="0" applyFont="1" applyBorder="1" applyAlignment="1" applyProtection="1">
      <alignment horizontal="left" vertical="top" wrapText="1"/>
    </xf>
    <xf numFmtId="0" fontId="6" fillId="3" borderId="1" xfId="0" applyFont="1" applyFill="1" applyBorder="1" applyAlignment="1" applyProtection="1">
      <alignment horizontal="center" vertical="top"/>
    </xf>
    <xf numFmtId="0" fontId="7" fillId="0" borderId="1" xfId="0" applyFont="1" applyBorder="1" applyAlignment="1" applyProtection="1">
      <alignment horizontal="left" vertical="top" wrapText="1"/>
    </xf>
    <xf numFmtId="0" fontId="6" fillId="4" borderId="1" xfId="0" applyFont="1" applyFill="1" applyBorder="1" applyAlignment="1" applyProtection="1">
      <alignment horizontal="center" vertical="top"/>
    </xf>
    <xf numFmtId="0" fontId="6" fillId="5" borderId="1" xfId="0" applyFont="1" applyFill="1" applyBorder="1" applyAlignment="1" applyProtection="1">
      <alignment horizontal="center" vertical="top"/>
    </xf>
    <xf numFmtId="0" fontId="8" fillId="0" borderId="0" xfId="0" applyFont="1" applyAlignment="1" applyProtection="1"/>
    <xf numFmtId="0" fontId="10" fillId="3" borderId="0" xfId="0" applyFont="1" applyFill="1" applyAlignment="1" applyProtection="1">
      <alignment horizontal="center"/>
    </xf>
    <xf numFmtId="0" fontId="11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horizontal="center"/>
    </xf>
    <xf numFmtId="0" fontId="0" fillId="4" borderId="0" xfId="0" applyFill="1" applyAlignment="1" applyProtection="1"/>
    <xf numFmtId="0" fontId="0" fillId="5" borderId="0" xfId="0" applyFill="1" applyAlignment="1" applyProtection="1"/>
    <xf numFmtId="0" fontId="3" fillId="2" borderId="0" xfId="0" applyFont="1" applyFill="1" applyAlignment="1" applyProtection="1">
      <alignment horizontal="center"/>
    </xf>
    <xf numFmtId="0" fontId="14" fillId="0" borderId="0" xfId="0" applyFont="1" applyAlignment="1" applyProtection="1"/>
    <xf numFmtId="0" fontId="15" fillId="0" borderId="2" xfId="0" applyFont="1" applyBorder="1" applyAlignment="1" applyProtection="1"/>
    <xf numFmtId="0" fontId="0" fillId="0" borderId="2" xfId="0" applyBorder="1" applyAlignment="1" applyProtection="1"/>
    <xf numFmtId="0" fontId="16" fillId="0" borderId="0" xfId="0" applyFont="1" applyAlignment="1" applyProtection="1"/>
    <xf numFmtId="0" fontId="3" fillId="2" borderId="0" xfId="0" applyFont="1" applyFill="1" applyAlignment="1" applyProtection="1"/>
    <xf numFmtId="0" fontId="0" fillId="0" borderId="0" xfId="0" applyFont="1" applyAlignment="1" applyProtection="1">
      <alignment vertical="top" wrapText="1"/>
    </xf>
    <xf numFmtId="0" fontId="14" fillId="0" borderId="0" xfId="0" applyFont="1" applyAlignment="1" applyProtection="1">
      <alignment vertical="top" wrapText="1"/>
    </xf>
    <xf numFmtId="0" fontId="18" fillId="0" borderId="1" xfId="0" applyFont="1" applyBorder="1" applyAlignment="1" applyProtection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7A7974"/>
      <rgbColor rgb="FF9999FF"/>
      <rgbColor rgb="FF993366"/>
      <rgbColor rgb="FFFBF3D9"/>
      <rgbColor rgb="FFE4F3EC"/>
      <rgbColor rgb="FF660066"/>
      <rgbColor rgb="FFFF8080"/>
      <rgbColor rgb="FF0066CC"/>
      <rgbColor rgb="FFF3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co.or.kr/notice/notice?bc_seq=1&amp;method=view&amp;b_seq=6981" TargetMode="External"/><Relationship Id="rId13" Type="http://schemas.openxmlformats.org/officeDocument/2006/relationships/hyperlink" Target="https://www.metroseoul.co.kr/article/20260202500037" TargetMode="External"/><Relationship Id="rId18" Type="http://schemas.openxmlformats.org/officeDocument/2006/relationships/hyperlink" Target="https://m.joongdo.co.kr/view.php?key=20260126010008379" TargetMode="External"/><Relationship Id="rId3" Type="http://schemas.openxmlformats.org/officeDocument/2006/relationships/hyperlink" Target="https://www.greenremodeling.or.kr/n1/business/bus1000.asp" TargetMode="External"/><Relationship Id="rId21" Type="http://schemas.openxmlformats.org/officeDocument/2006/relationships/hyperlink" Target="https://www.anyang.go.kr/main/emwsWebView.do?key=4101&amp;searchGosiSe=01,04&amp;regiNo=28332&amp;pageUnit=10&amp;pageIndex=1&amp;searchCnd=all&amp;searchKrwd=" TargetMode="External"/><Relationship Id="rId7" Type="http://schemas.openxmlformats.org/officeDocument/2006/relationships/hyperlink" Target="https://www.energy.or.kr/front/conts/105002001023000.do" TargetMode="External"/><Relationship Id="rId12" Type="http://schemas.openxmlformats.org/officeDocument/2006/relationships/hyperlink" Target="https://sscf2016.or.kr/entry_view.do?mn_key=&amp;srch_page=2&amp;ACV_CNT_BOARD_NUM=202609011143510020" TargetMode="External"/><Relationship Id="rId17" Type="http://schemas.openxmlformats.org/officeDocument/2006/relationships/hyperlink" Target="https://www.ggeco.co.kr/news/article.html?no=319597" TargetMode="External"/><Relationship Id="rId2" Type="http://schemas.openxmlformats.org/officeDocument/2006/relationships/hyperlink" Target="https://www.greenremodeling.or.kr/include/filedown.asp?bid=notice&amp;nFileSeq=15536" TargetMode="External"/><Relationship Id="rId16" Type="http://schemas.openxmlformats.org/officeDocument/2006/relationships/hyperlink" Target="https://www.welfarehello.com/community/hometownNews/a492c904-92dc-496c-8711-73786ae2c8ba" TargetMode="External"/><Relationship Id="rId20" Type="http://schemas.openxmlformats.org/officeDocument/2006/relationships/hyperlink" Target="https://council.hscity.go.kr/cnts/mnt/mntsViewer.php?mode=spkr1&amp;schSn=7566&amp;spkrCd=MBR9010" TargetMode="External"/><Relationship Id="rId1" Type="http://schemas.openxmlformats.org/officeDocument/2006/relationships/hyperlink" Target="https://www.greenremodeling.or.kr/n1/board/boardView.asp?bid=notice&amp;nSeq=5824" TargetMode="External"/><Relationship Id="rId6" Type="http://schemas.openxmlformats.org/officeDocument/2006/relationships/hyperlink" Target="https://www.e-policy.or.kr/web/lay1/program/S1T9C14/curation/view.do?cr_seq=109" TargetMode="External"/><Relationship Id="rId11" Type="http://schemas.openxmlformats.org/officeDocument/2006/relationships/hyperlink" Target="https://www.sscf2016.or.kr/sscf2019_files/contest/1780873066291_0291.pdf" TargetMode="External"/><Relationship Id="rId24" Type="http://schemas.openxmlformats.org/officeDocument/2006/relationships/hyperlink" Target="https://www.seoul.go.kr/news/news_notice.do?bbsNo=277&amp;nttNo=451728" TargetMode="External"/><Relationship Id="rId5" Type="http://schemas.openxmlformats.org/officeDocument/2006/relationships/hyperlink" Target="https://housing.gg.go.kr/html/24302.do" TargetMode="External"/><Relationship Id="rId15" Type="http://schemas.openxmlformats.org/officeDocument/2006/relationships/hyperlink" Target="https://www.gimpo.go.kr/news/selectBbsNttView.do?key=9377&amp;bbsNo=466&amp;nttNo=904793&amp;pageUnit=10&amp;pageIndex=1&amp;searchCnd=all&amp;searchKrwd=LPG" TargetMode="External"/><Relationship Id="rId23" Type="http://schemas.openxmlformats.org/officeDocument/2006/relationships/hyperlink" Target="https://www.goyang.go.kr/www/user/bbs/BD_selectBbs.do?q_bbsCode=1030&amp;q_bbscttSn=20260205102832053" TargetMode="External"/><Relationship Id="rId10" Type="http://schemas.openxmlformats.org/officeDocument/2006/relationships/hyperlink" Target="https://www.sscf2016.or.kr/entry_view.do?mn_key=02020000&amp;srch_page=1&amp;ACV_CNT_BOARD_NUM=202601051248190971" TargetMode="External"/><Relationship Id="rId19" Type="http://schemas.openxmlformats.org/officeDocument/2006/relationships/hyperlink" Target="https://www.hscity.go.kr/manse/user/bbs/BD_selectBbs.do?q_bbsCode=1048&amp;q_bbscttSn=20260121152716502" TargetMode="External"/><Relationship Id="rId4" Type="http://schemas.openxmlformats.org/officeDocument/2006/relationships/hyperlink" Target="https://gnews.gg.go.kr/briefing/brief_gongbo_view.do?BS_CODE=s017&amp;number=68930" TargetMode="External"/><Relationship Id="rId9" Type="http://schemas.openxmlformats.org/officeDocument/2006/relationships/hyperlink" Target="https://www.molit.go.kr/newdeal/sub/sub_2_1.jsp" TargetMode="External"/><Relationship Id="rId14" Type="http://schemas.openxmlformats.org/officeDocument/2006/relationships/hyperlink" Target="https://www.gimpo.go.kr/news/selectBbsNttView.do?bbsNo=466&amp;key=9377&amp;nttNo=960657" TargetMode="External"/><Relationship Id="rId22" Type="http://schemas.openxmlformats.org/officeDocument/2006/relationships/hyperlink" Target="https://www.gybknews.com/884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N30"/>
  <sheetViews>
    <sheetView tabSelected="1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C6" sqref="C6"/>
    </sheetView>
  </sheetViews>
  <sheetFormatPr defaultColWidth="8.7109375" defaultRowHeight="15"/>
  <cols>
    <col min="1" max="1" width="3" style="4" customWidth="1"/>
    <col min="2" max="2" width="5" style="4" customWidth="1"/>
    <col min="3" max="3" width="11" style="4" customWidth="1"/>
    <col min="4" max="4" width="30" style="4" customWidth="1"/>
    <col min="5" max="5" width="24" style="4" customWidth="1"/>
    <col min="6" max="6" width="32" style="4" customWidth="1"/>
    <col min="7" max="7" width="28" style="4" customWidth="1"/>
    <col min="8" max="8" width="22" style="4" customWidth="1"/>
    <col min="9" max="9" width="34" style="4" customWidth="1"/>
    <col min="10" max="10" width="20" style="4" customWidth="1"/>
    <col min="11" max="12" width="24" style="4" customWidth="1"/>
    <col min="13" max="13" width="10" style="4" customWidth="1"/>
    <col min="14" max="14" width="38" style="4" customWidth="1"/>
  </cols>
  <sheetData>
    <row r="1" spans="2:14" ht="21.75" customHeight="1">
      <c r="B1" s="5" t="s">
        <v>0</v>
      </c>
    </row>
    <row r="2" spans="2:14" ht="31.5" customHeight="1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</row>
    <row r="3" spans="2:14" ht="48">
      <c r="B3" s="7">
        <v>1</v>
      </c>
      <c r="C3" s="28" t="s">
        <v>267</v>
      </c>
      <c r="D3" s="9" t="s">
        <v>15</v>
      </c>
      <c r="E3" s="8" t="s">
        <v>16</v>
      </c>
      <c r="F3" s="8" t="s">
        <v>17</v>
      </c>
      <c r="G3" s="8" t="s">
        <v>18</v>
      </c>
      <c r="H3" s="9" t="s">
        <v>19</v>
      </c>
      <c r="I3" s="8" t="s">
        <v>20</v>
      </c>
      <c r="J3" s="9" t="s">
        <v>21</v>
      </c>
      <c r="K3" s="8" t="s">
        <v>22</v>
      </c>
      <c r="L3" s="8" t="s">
        <v>23</v>
      </c>
      <c r="M3" s="10" t="s">
        <v>24</v>
      </c>
      <c r="N3" s="11" t="s">
        <v>25</v>
      </c>
    </row>
    <row r="4" spans="2:14" ht="63.75">
      <c r="B4" s="7">
        <v>2</v>
      </c>
      <c r="C4" s="28" t="s">
        <v>267</v>
      </c>
      <c r="D4" s="9" t="s">
        <v>26</v>
      </c>
      <c r="E4" s="8" t="s">
        <v>27</v>
      </c>
      <c r="F4" s="9" t="s">
        <v>28</v>
      </c>
      <c r="G4" s="8" t="s">
        <v>29</v>
      </c>
      <c r="H4" s="8" t="s">
        <v>30</v>
      </c>
      <c r="I4" s="8" t="s">
        <v>31</v>
      </c>
      <c r="J4" s="8" t="s">
        <v>32</v>
      </c>
      <c r="K4" s="8" t="s">
        <v>33</v>
      </c>
      <c r="L4" s="8" t="s">
        <v>34</v>
      </c>
      <c r="M4" s="10" t="s">
        <v>24</v>
      </c>
      <c r="N4" s="11" t="s">
        <v>35</v>
      </c>
    </row>
    <row r="5" spans="2:14" ht="38.25">
      <c r="B5" s="7">
        <v>3</v>
      </c>
      <c r="C5" s="8" t="s">
        <v>14</v>
      </c>
      <c r="D5" s="9" t="s">
        <v>36</v>
      </c>
      <c r="E5" s="8" t="s">
        <v>37</v>
      </c>
      <c r="F5" s="8" t="s">
        <v>38</v>
      </c>
      <c r="G5" s="9" t="s">
        <v>39</v>
      </c>
      <c r="H5" s="9" t="s">
        <v>40</v>
      </c>
      <c r="I5" s="8" t="s">
        <v>41</v>
      </c>
      <c r="J5" s="9" t="s">
        <v>42</v>
      </c>
      <c r="K5" s="9" t="s">
        <v>43</v>
      </c>
      <c r="L5" s="8" t="s">
        <v>44</v>
      </c>
      <c r="M5" s="12" t="s">
        <v>45</v>
      </c>
      <c r="N5" s="11" t="s">
        <v>46</v>
      </c>
    </row>
    <row r="6" spans="2:14" ht="60">
      <c r="B6" s="7">
        <v>4</v>
      </c>
      <c r="C6" s="8" t="s">
        <v>47</v>
      </c>
      <c r="D6" s="8" t="s">
        <v>48</v>
      </c>
      <c r="E6" s="8" t="s">
        <v>49</v>
      </c>
      <c r="F6" s="8" t="s">
        <v>50</v>
      </c>
      <c r="G6" s="8" t="s">
        <v>51</v>
      </c>
      <c r="H6" s="8" t="s">
        <v>52</v>
      </c>
      <c r="I6" s="8" t="s">
        <v>53</v>
      </c>
      <c r="J6" s="8" t="s">
        <v>54</v>
      </c>
      <c r="K6" s="8" t="s">
        <v>55</v>
      </c>
      <c r="L6" s="8" t="s">
        <v>56</v>
      </c>
      <c r="M6" s="12" t="s">
        <v>45</v>
      </c>
      <c r="N6" s="11" t="s">
        <v>57</v>
      </c>
    </row>
    <row r="7" spans="2:14" ht="38.25">
      <c r="B7" s="7">
        <v>5</v>
      </c>
      <c r="C7" s="8" t="s">
        <v>47</v>
      </c>
      <c r="D7" s="8" t="s">
        <v>58</v>
      </c>
      <c r="E7" s="8" t="s">
        <v>59</v>
      </c>
      <c r="F7" s="8" t="s">
        <v>60</v>
      </c>
      <c r="G7" s="8" t="s">
        <v>61</v>
      </c>
      <c r="H7" s="8" t="s">
        <v>62</v>
      </c>
      <c r="I7" s="8" t="s">
        <v>63</v>
      </c>
      <c r="J7" s="8" t="s">
        <v>64</v>
      </c>
      <c r="K7" s="8" t="s">
        <v>65</v>
      </c>
      <c r="L7" s="8" t="s">
        <v>66</v>
      </c>
      <c r="M7" s="12" t="s">
        <v>45</v>
      </c>
      <c r="N7" s="11" t="s">
        <v>67</v>
      </c>
    </row>
    <row r="8" spans="2:14" ht="60">
      <c r="B8" s="7">
        <v>6</v>
      </c>
      <c r="C8" s="28" t="s">
        <v>267</v>
      </c>
      <c r="D8" s="9" t="s">
        <v>68</v>
      </c>
      <c r="E8" s="8" t="s">
        <v>69</v>
      </c>
      <c r="F8" s="8" t="s">
        <v>70</v>
      </c>
      <c r="G8" s="8" t="s">
        <v>71</v>
      </c>
      <c r="H8" s="8" t="s">
        <v>72</v>
      </c>
      <c r="I8" s="8" t="s">
        <v>73</v>
      </c>
      <c r="J8" s="8" t="s">
        <v>74</v>
      </c>
      <c r="K8" s="8" t="s">
        <v>75</v>
      </c>
      <c r="L8" s="8" t="s">
        <v>76</v>
      </c>
      <c r="M8" s="10" t="s">
        <v>24</v>
      </c>
      <c r="N8" s="11" t="s">
        <v>77</v>
      </c>
    </row>
    <row r="9" spans="2:14" ht="51">
      <c r="B9" s="7">
        <v>7</v>
      </c>
      <c r="C9" s="28" t="s">
        <v>267</v>
      </c>
      <c r="D9" s="8" t="s">
        <v>78</v>
      </c>
      <c r="E9" s="8" t="s">
        <v>79</v>
      </c>
      <c r="F9" s="8" t="s">
        <v>80</v>
      </c>
      <c r="G9" s="8" t="s">
        <v>81</v>
      </c>
      <c r="H9" s="8" t="s">
        <v>82</v>
      </c>
      <c r="I9" s="8" t="s">
        <v>83</v>
      </c>
      <c r="J9" s="8" t="s">
        <v>84</v>
      </c>
      <c r="K9" s="8" t="s">
        <v>85</v>
      </c>
      <c r="L9" s="8" t="s">
        <v>86</v>
      </c>
      <c r="M9" s="10" t="s">
        <v>24</v>
      </c>
      <c r="N9" s="11" t="s">
        <v>87</v>
      </c>
    </row>
    <row r="10" spans="2:14" ht="38.25">
      <c r="B10" s="7">
        <v>8</v>
      </c>
      <c r="C10" s="28" t="s">
        <v>268</v>
      </c>
      <c r="D10" s="9" t="s">
        <v>88</v>
      </c>
      <c r="E10" s="8" t="s">
        <v>89</v>
      </c>
      <c r="F10" s="8" t="s">
        <v>90</v>
      </c>
      <c r="G10" s="9" t="s">
        <v>91</v>
      </c>
      <c r="H10" s="8" t="s">
        <v>92</v>
      </c>
      <c r="I10" s="8" t="s">
        <v>93</v>
      </c>
      <c r="J10" s="9" t="s">
        <v>94</v>
      </c>
      <c r="K10" s="8" t="s">
        <v>95</v>
      </c>
      <c r="L10" s="8" t="s">
        <v>96</v>
      </c>
      <c r="M10" s="10" t="s">
        <v>24</v>
      </c>
      <c r="N10" s="11" t="s">
        <v>97</v>
      </c>
    </row>
    <row r="11" spans="2:14" ht="51" hidden="1">
      <c r="B11" s="7">
        <v>9</v>
      </c>
      <c r="C11" s="8" t="s">
        <v>14</v>
      </c>
      <c r="D11" s="8" t="s">
        <v>98</v>
      </c>
      <c r="E11" s="8" t="s">
        <v>99</v>
      </c>
      <c r="F11" s="8" t="s">
        <v>100</v>
      </c>
      <c r="G11" s="8" t="s">
        <v>101</v>
      </c>
      <c r="H11" s="8" t="s">
        <v>102</v>
      </c>
      <c r="I11" s="8" t="s">
        <v>103</v>
      </c>
      <c r="J11" s="9" t="s">
        <v>104</v>
      </c>
      <c r="K11" s="8" t="s">
        <v>105</v>
      </c>
      <c r="L11" s="9" t="s">
        <v>106</v>
      </c>
      <c r="M11" s="13" t="s">
        <v>107</v>
      </c>
      <c r="N11" s="11" t="s">
        <v>108</v>
      </c>
    </row>
    <row r="12" spans="2:14" ht="51">
      <c r="B12" s="7">
        <v>10</v>
      </c>
      <c r="C12" s="8" t="s">
        <v>109</v>
      </c>
      <c r="D12" s="9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9" t="s">
        <v>116</v>
      </c>
      <c r="K12" s="8" t="s">
        <v>117</v>
      </c>
      <c r="L12" s="8" t="s">
        <v>45</v>
      </c>
      <c r="M12" s="12" t="s">
        <v>45</v>
      </c>
      <c r="N12" s="11" t="s">
        <v>118</v>
      </c>
    </row>
    <row r="13" spans="2:14" ht="38.25">
      <c r="B13" s="7">
        <v>11</v>
      </c>
      <c r="C13" s="8" t="s">
        <v>109</v>
      </c>
      <c r="D13" s="9" t="s">
        <v>119</v>
      </c>
      <c r="E13" s="8" t="s">
        <v>120</v>
      </c>
      <c r="F13" s="8" t="s">
        <v>121</v>
      </c>
      <c r="G13" s="8" t="s">
        <v>122</v>
      </c>
      <c r="H13" s="8" t="s">
        <v>123</v>
      </c>
      <c r="I13" s="8" t="s">
        <v>124</v>
      </c>
      <c r="J13" s="9" t="s">
        <v>125</v>
      </c>
      <c r="K13" s="8" t="s">
        <v>120</v>
      </c>
      <c r="L13" s="8" t="s">
        <v>126</v>
      </c>
      <c r="M13" s="10" t="s">
        <v>24</v>
      </c>
      <c r="N13" s="11" t="s">
        <v>127</v>
      </c>
    </row>
    <row r="14" spans="2:14" ht="38.25">
      <c r="B14" s="7">
        <v>12</v>
      </c>
      <c r="C14" s="8" t="s">
        <v>109</v>
      </c>
      <c r="D14" s="9" t="s">
        <v>128</v>
      </c>
      <c r="E14" s="8" t="s">
        <v>120</v>
      </c>
      <c r="F14" s="8" t="s">
        <v>129</v>
      </c>
      <c r="G14" s="8" t="s">
        <v>130</v>
      </c>
      <c r="H14" s="8" t="s">
        <v>123</v>
      </c>
      <c r="I14" s="8" t="s">
        <v>131</v>
      </c>
      <c r="J14" s="9" t="s">
        <v>132</v>
      </c>
      <c r="K14" s="8" t="s">
        <v>120</v>
      </c>
      <c r="L14" s="8" t="s">
        <v>45</v>
      </c>
      <c r="M14" s="12" t="s">
        <v>45</v>
      </c>
      <c r="N14" s="11" t="s">
        <v>133</v>
      </c>
    </row>
    <row r="15" spans="2:14" ht="51">
      <c r="B15" s="7">
        <v>13</v>
      </c>
      <c r="C15" s="8" t="s">
        <v>109</v>
      </c>
      <c r="D15" s="9" t="s">
        <v>134</v>
      </c>
      <c r="E15" s="8" t="s">
        <v>135</v>
      </c>
      <c r="F15" s="8" t="s">
        <v>136</v>
      </c>
      <c r="G15" s="8" t="s">
        <v>137</v>
      </c>
      <c r="H15" s="8" t="s">
        <v>138</v>
      </c>
      <c r="I15" s="8" t="s">
        <v>139</v>
      </c>
      <c r="J15" s="9" t="s">
        <v>140</v>
      </c>
      <c r="K15" s="8" t="s">
        <v>141</v>
      </c>
      <c r="L15" s="8" t="s">
        <v>45</v>
      </c>
      <c r="M15" s="12" t="s">
        <v>45</v>
      </c>
      <c r="N15" s="11" t="s">
        <v>142</v>
      </c>
    </row>
    <row r="16" spans="2:14" ht="38.25">
      <c r="B16" s="7">
        <v>14</v>
      </c>
      <c r="C16" s="8" t="s">
        <v>143</v>
      </c>
      <c r="D16" s="9" t="s">
        <v>144</v>
      </c>
      <c r="E16" s="8" t="s">
        <v>145</v>
      </c>
      <c r="F16" s="8" t="s">
        <v>146</v>
      </c>
      <c r="G16" s="8" t="s">
        <v>147</v>
      </c>
      <c r="H16" s="8" t="s">
        <v>123</v>
      </c>
      <c r="I16" s="8" t="s">
        <v>148</v>
      </c>
      <c r="J16" s="9" t="s">
        <v>149</v>
      </c>
      <c r="K16" s="8" t="s">
        <v>150</v>
      </c>
      <c r="L16" s="8" t="s">
        <v>45</v>
      </c>
      <c r="M16" s="12" t="s">
        <v>45</v>
      </c>
      <c r="N16" s="11" t="s">
        <v>151</v>
      </c>
    </row>
    <row r="17" spans="2:14" ht="48">
      <c r="B17" s="7">
        <v>15</v>
      </c>
      <c r="C17" s="8" t="s">
        <v>143</v>
      </c>
      <c r="D17" s="8" t="s">
        <v>152</v>
      </c>
      <c r="E17" s="8" t="s">
        <v>153</v>
      </c>
      <c r="F17" s="8" t="s">
        <v>154</v>
      </c>
      <c r="G17" s="8" t="s">
        <v>155</v>
      </c>
      <c r="H17" s="8" t="s">
        <v>156</v>
      </c>
      <c r="I17" s="8" t="s">
        <v>157</v>
      </c>
      <c r="J17" s="8" t="s">
        <v>158</v>
      </c>
      <c r="K17" s="8" t="s">
        <v>159</v>
      </c>
      <c r="L17" s="8" t="s">
        <v>160</v>
      </c>
      <c r="M17" s="10" t="s">
        <v>24</v>
      </c>
      <c r="N17" s="11" t="s">
        <v>161</v>
      </c>
    </row>
    <row r="18" spans="2:14" ht="38.25">
      <c r="B18" s="7">
        <v>16</v>
      </c>
      <c r="C18" s="8" t="s">
        <v>162</v>
      </c>
      <c r="D18" s="9" t="s">
        <v>163</v>
      </c>
      <c r="E18" s="8" t="s">
        <v>164</v>
      </c>
      <c r="F18" s="8" t="s">
        <v>165</v>
      </c>
      <c r="G18" s="8" t="s">
        <v>166</v>
      </c>
      <c r="H18" s="8" t="s">
        <v>167</v>
      </c>
      <c r="I18" s="8" t="s">
        <v>168</v>
      </c>
      <c r="J18" s="9" t="s">
        <v>169</v>
      </c>
      <c r="K18" s="8" t="s">
        <v>170</v>
      </c>
      <c r="L18" s="8" t="s">
        <v>45</v>
      </c>
      <c r="M18" s="12" t="s">
        <v>45</v>
      </c>
      <c r="N18" s="11" t="s">
        <v>171</v>
      </c>
    </row>
    <row r="19" spans="2:14" ht="25.5">
      <c r="B19" s="7">
        <v>17</v>
      </c>
      <c r="C19" s="8" t="s">
        <v>172</v>
      </c>
      <c r="D19" s="9" t="s">
        <v>144</v>
      </c>
      <c r="E19" s="8" t="s">
        <v>173</v>
      </c>
      <c r="F19" s="8" t="s">
        <v>174</v>
      </c>
      <c r="G19" s="8" t="s">
        <v>175</v>
      </c>
      <c r="H19" s="8" t="s">
        <v>123</v>
      </c>
      <c r="I19" s="8" t="s">
        <v>176</v>
      </c>
      <c r="J19" s="9" t="s">
        <v>177</v>
      </c>
      <c r="K19" s="8" t="s">
        <v>178</v>
      </c>
      <c r="L19" s="8" t="s">
        <v>45</v>
      </c>
      <c r="M19" s="12" t="s">
        <v>45</v>
      </c>
      <c r="N19" s="11" t="s">
        <v>179</v>
      </c>
    </row>
    <row r="20" spans="2:14" ht="25.5">
      <c r="B20" s="7">
        <v>18</v>
      </c>
      <c r="C20" s="8" t="s">
        <v>172</v>
      </c>
      <c r="D20" s="9" t="s">
        <v>180</v>
      </c>
      <c r="E20" s="8" t="s">
        <v>181</v>
      </c>
      <c r="F20" s="9" t="s">
        <v>182</v>
      </c>
      <c r="G20" s="8" t="s">
        <v>175</v>
      </c>
      <c r="H20" s="8" t="s">
        <v>123</v>
      </c>
      <c r="I20" s="8" t="s">
        <v>176</v>
      </c>
      <c r="J20" s="9" t="s">
        <v>177</v>
      </c>
      <c r="K20" s="8" t="s">
        <v>178</v>
      </c>
      <c r="L20" s="8" t="s">
        <v>45</v>
      </c>
      <c r="M20" s="12" t="s">
        <v>45</v>
      </c>
      <c r="N20" s="11" t="s">
        <v>183</v>
      </c>
    </row>
    <row r="21" spans="2:14" ht="38.25">
      <c r="B21" s="7">
        <v>19</v>
      </c>
      <c r="C21" s="8" t="s">
        <v>184</v>
      </c>
      <c r="D21" s="9" t="s">
        <v>185</v>
      </c>
      <c r="E21" s="8" t="s">
        <v>186</v>
      </c>
      <c r="F21" s="8" t="s">
        <v>187</v>
      </c>
      <c r="G21" s="8" t="s">
        <v>188</v>
      </c>
      <c r="H21" s="8" t="s">
        <v>189</v>
      </c>
      <c r="I21" s="8" t="s">
        <v>190</v>
      </c>
      <c r="J21" s="9" t="s">
        <v>169</v>
      </c>
      <c r="K21" s="8" t="s">
        <v>191</v>
      </c>
      <c r="L21" s="8" t="s">
        <v>45</v>
      </c>
      <c r="M21" s="12" t="s">
        <v>45</v>
      </c>
      <c r="N21" s="11" t="s">
        <v>192</v>
      </c>
    </row>
    <row r="22" spans="2:14" ht="38.25" hidden="1">
      <c r="B22" s="7">
        <v>20</v>
      </c>
      <c r="C22" s="8" t="s">
        <v>184</v>
      </c>
      <c r="D22" s="8" t="s">
        <v>193</v>
      </c>
      <c r="E22" s="8" t="s">
        <v>194</v>
      </c>
      <c r="F22" s="8" t="s">
        <v>195</v>
      </c>
      <c r="G22" s="9" t="s">
        <v>196</v>
      </c>
      <c r="H22" s="9" t="s">
        <v>197</v>
      </c>
      <c r="I22" s="8" t="s">
        <v>198</v>
      </c>
      <c r="J22" s="9" t="s">
        <v>199</v>
      </c>
      <c r="K22" s="8" t="s">
        <v>198</v>
      </c>
      <c r="L22" s="8" t="s">
        <v>200</v>
      </c>
      <c r="M22" s="13" t="s">
        <v>107</v>
      </c>
      <c r="N22" s="11" t="s">
        <v>201</v>
      </c>
    </row>
    <row r="23" spans="2:14" ht="48">
      <c r="B23" s="7">
        <v>21</v>
      </c>
      <c r="C23" s="8" t="s">
        <v>202</v>
      </c>
      <c r="D23" s="9" t="s">
        <v>203</v>
      </c>
      <c r="E23" s="8" t="s">
        <v>204</v>
      </c>
      <c r="F23" s="8" t="s">
        <v>205</v>
      </c>
      <c r="G23" s="8" t="s">
        <v>175</v>
      </c>
      <c r="H23" s="8" t="s">
        <v>206</v>
      </c>
      <c r="I23" s="8" t="s">
        <v>207</v>
      </c>
      <c r="J23" s="9" t="s">
        <v>208</v>
      </c>
      <c r="K23" s="8" t="s">
        <v>209</v>
      </c>
      <c r="L23" s="8" t="s">
        <v>45</v>
      </c>
      <c r="M23" s="12" t="s">
        <v>45</v>
      </c>
      <c r="N23" s="11" t="s">
        <v>210</v>
      </c>
    </row>
    <row r="24" spans="2:14" ht="38.25">
      <c r="B24" s="7">
        <v>22</v>
      </c>
      <c r="C24" s="8" t="s">
        <v>211</v>
      </c>
      <c r="D24" s="9" t="s">
        <v>212</v>
      </c>
      <c r="E24" s="8" t="s">
        <v>213</v>
      </c>
      <c r="F24" s="8" t="s">
        <v>214</v>
      </c>
      <c r="G24" s="8" t="s">
        <v>215</v>
      </c>
      <c r="H24" s="8" t="s">
        <v>216</v>
      </c>
      <c r="I24" s="8" t="s">
        <v>217</v>
      </c>
      <c r="J24" s="9" t="s">
        <v>218</v>
      </c>
      <c r="K24" s="8" t="s">
        <v>219</v>
      </c>
      <c r="L24" s="8" t="s">
        <v>45</v>
      </c>
      <c r="M24" s="12" t="s">
        <v>45</v>
      </c>
      <c r="N24" s="11" t="s">
        <v>220</v>
      </c>
    </row>
    <row r="25" spans="2:14" ht="38.25">
      <c r="B25" s="7">
        <v>23</v>
      </c>
      <c r="C25" s="8" t="s">
        <v>211</v>
      </c>
      <c r="D25" s="9" t="s">
        <v>221</v>
      </c>
      <c r="E25" s="8" t="s">
        <v>222</v>
      </c>
      <c r="F25" s="8" t="s">
        <v>223</v>
      </c>
      <c r="G25" s="8" t="s">
        <v>224</v>
      </c>
      <c r="H25" s="8" t="s">
        <v>225</v>
      </c>
      <c r="I25" s="8" t="s">
        <v>226</v>
      </c>
      <c r="J25" s="9" t="s">
        <v>227</v>
      </c>
      <c r="K25" s="8" t="s">
        <v>219</v>
      </c>
      <c r="L25" s="8" t="s">
        <v>45</v>
      </c>
      <c r="M25" s="12" t="s">
        <v>45</v>
      </c>
      <c r="N25" s="11" t="s">
        <v>228</v>
      </c>
    </row>
    <row r="26" spans="2:14" ht="38.25">
      <c r="B26" s="7">
        <v>24</v>
      </c>
      <c r="C26" s="8" t="s">
        <v>269</v>
      </c>
      <c r="D26" s="9" t="s">
        <v>229</v>
      </c>
      <c r="E26" s="8" t="s">
        <v>230</v>
      </c>
      <c r="F26" s="8" t="s">
        <v>231</v>
      </c>
      <c r="G26" s="8" t="s">
        <v>232</v>
      </c>
      <c r="H26" s="8" t="s">
        <v>233</v>
      </c>
      <c r="I26" s="8" t="s">
        <v>234</v>
      </c>
      <c r="J26" s="9" t="s">
        <v>235</v>
      </c>
      <c r="K26" s="8" t="s">
        <v>236</v>
      </c>
      <c r="L26" s="8" t="s">
        <v>237</v>
      </c>
      <c r="M26" s="10" t="s">
        <v>24</v>
      </c>
      <c r="N26" s="11" t="s">
        <v>238</v>
      </c>
    </row>
    <row r="28" spans="2:14">
      <c r="B28" s="14" t="s">
        <v>239</v>
      </c>
      <c r="C28" s="15"/>
      <c r="D28" s="16" t="s">
        <v>240</v>
      </c>
      <c r="E28" s="17"/>
      <c r="F28" s="18"/>
      <c r="G28" s="16" t="s">
        <v>241</v>
      </c>
      <c r="I28" s="19"/>
      <c r="J28" s="16" t="s">
        <v>242</v>
      </c>
    </row>
    <row r="30" spans="2:14" ht="67.5" customHeight="1">
      <c r="B30" s="3" t="s">
        <v>243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</sheetData>
  <autoFilter ref="B2:N26">
    <filterColumn colId="11">
      <filters>
        <filter val="종료"/>
        <filter val="진행중"/>
      </filters>
    </filterColumn>
  </autoFilter>
  <mergeCells count="1">
    <mergeCell ref="B30:N30"/>
  </mergeCells>
  <phoneticPr fontId="17" type="noConversion"/>
  <hyperlinks>
    <hyperlink ref="N3" r:id="rId1"/>
    <hyperlink ref="N4" r:id="rId2"/>
    <hyperlink ref="N5" r:id="rId3"/>
    <hyperlink ref="N6" r:id="rId4"/>
    <hyperlink ref="N7" r:id="rId5"/>
    <hyperlink ref="N8" r:id="rId6"/>
    <hyperlink ref="N9" r:id="rId7"/>
    <hyperlink ref="N10" r:id="rId8"/>
    <hyperlink ref="N11" r:id="rId9"/>
    <hyperlink ref="N12" r:id="rId10"/>
    <hyperlink ref="N13" r:id="rId11"/>
    <hyperlink ref="N14" r:id="rId12"/>
    <hyperlink ref="N15" r:id="rId13"/>
    <hyperlink ref="N16" r:id="rId14"/>
    <hyperlink ref="N17" r:id="rId15"/>
    <hyperlink ref="N18" r:id="rId16"/>
    <hyperlink ref="N19" r:id="rId17"/>
    <hyperlink ref="N20" r:id="rId18"/>
    <hyperlink ref="N21" r:id="rId19"/>
    <hyperlink ref="N22" r:id="rId20"/>
    <hyperlink ref="N23" r:id="rId21"/>
    <hyperlink ref="N24" r:id="rId22"/>
    <hyperlink ref="N25" r:id="rId23"/>
    <hyperlink ref="N26" r:id="rId24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ColWidth="8.7109375" defaultRowHeight="15"/>
  <cols>
    <col min="1" max="1" width="3" style="4" customWidth="1"/>
    <col min="2" max="2" width="16" style="4" customWidth="1"/>
    <col min="3" max="6" width="10" style="4" customWidth="1"/>
  </cols>
  <sheetData>
    <row r="1" spans="2:6" ht="16.5">
      <c r="B1" s="5" t="s">
        <v>244</v>
      </c>
    </row>
    <row r="3" spans="2:6">
      <c r="B3" s="20" t="s">
        <v>2</v>
      </c>
      <c r="C3" s="20" t="s">
        <v>245</v>
      </c>
      <c r="D3" s="20" t="s">
        <v>246</v>
      </c>
      <c r="E3" s="20" t="s">
        <v>45</v>
      </c>
      <c r="F3" s="20" t="s">
        <v>107</v>
      </c>
    </row>
    <row r="4" spans="2:6">
      <c r="B4" s="21" t="s">
        <v>14</v>
      </c>
      <c r="C4" s="4">
        <f>COUNTIF(종합비교표!$C$3:$C$26,B4)</f>
        <v>2</v>
      </c>
      <c r="D4" s="4">
        <f>COUNTIFS(종합비교표!$C$3:$C$26,B4,종합비교표!$M$3:$M$26,"진행중")</f>
        <v>0</v>
      </c>
      <c r="E4" s="4">
        <f>COUNTIFS(종합비교표!$C$3:$C$26,B4,종합비교표!$M$3:$M$26,"종료")</f>
        <v>1</v>
      </c>
      <c r="F4" s="4">
        <f>COUNTIFS(종합비교표!$C$3:$C$26,B4,종합비교표!$M$3:$M$26,"확인불가")</f>
        <v>1</v>
      </c>
    </row>
    <row r="5" spans="2:6">
      <c r="B5" s="21" t="s">
        <v>247</v>
      </c>
      <c r="C5" s="4">
        <f>COUNTIF(종합비교표!$C$3:$C$26,B5)</f>
        <v>2</v>
      </c>
      <c r="D5" s="4">
        <f>COUNTIFS(종합비교표!$C$3:$C$26,B5,종합비교표!$M$3:$M$26,"진행중")</f>
        <v>0</v>
      </c>
      <c r="E5" s="4">
        <f>COUNTIFS(종합비교표!$C$3:$C$26,B5,종합비교표!$M$3:$M$26,"종료")</f>
        <v>2</v>
      </c>
      <c r="F5" s="4">
        <f>COUNTIFS(종합비교표!$C$3:$C$26,B5,종합비교표!$M$3:$M$26,"확인불가")</f>
        <v>0</v>
      </c>
    </row>
    <row r="6" spans="2:6">
      <c r="B6" s="21" t="s">
        <v>248</v>
      </c>
      <c r="C6" s="4">
        <f>COUNTIF(종합비교표!$C$3:$C$26,B6)</f>
        <v>0</v>
      </c>
      <c r="D6" s="4">
        <f>COUNTIFS(종합비교표!$C$3:$C$26,B6,종합비교표!$M$3:$M$26,"진행중")</f>
        <v>0</v>
      </c>
      <c r="E6" s="4">
        <f>COUNTIFS(종합비교표!$C$3:$C$26,B6,종합비교표!$M$3:$M$26,"종료")</f>
        <v>0</v>
      </c>
      <c r="F6" s="4">
        <f>COUNTIFS(종합비교표!$C$3:$C$26,B6,종합비교표!$M$3:$M$26,"확인불가")</f>
        <v>0</v>
      </c>
    </row>
    <row r="7" spans="2:6">
      <c r="B7" s="21" t="s">
        <v>109</v>
      </c>
      <c r="C7" s="4">
        <f>COUNTIF(종합비교표!$C$3:$C$26,B7)</f>
        <v>4</v>
      </c>
      <c r="D7" s="4">
        <f>COUNTIFS(종합비교표!$C$3:$C$26,B7,종합비교표!$M$3:$M$26,"진행중")</f>
        <v>1</v>
      </c>
      <c r="E7" s="4">
        <f>COUNTIFS(종합비교표!$C$3:$C$26,B7,종합비교표!$M$3:$M$26,"종료")</f>
        <v>3</v>
      </c>
      <c r="F7" s="4">
        <f>COUNTIFS(종합비교표!$C$3:$C$26,B7,종합비교표!$M$3:$M$26,"확인불가")</f>
        <v>0</v>
      </c>
    </row>
    <row r="8" spans="2:6">
      <c r="B8" s="21" t="s">
        <v>143</v>
      </c>
      <c r="C8" s="4">
        <f>COUNTIF(종합비교표!$C$3:$C$26,B8)</f>
        <v>2</v>
      </c>
      <c r="D8" s="4">
        <f>COUNTIFS(종합비교표!$C$3:$C$26,B8,종합비교표!$M$3:$M$26,"진행중")</f>
        <v>1</v>
      </c>
      <c r="E8" s="4">
        <f>COUNTIFS(종합비교표!$C$3:$C$26,B8,종합비교표!$M$3:$M$26,"종료")</f>
        <v>1</v>
      </c>
      <c r="F8" s="4">
        <f>COUNTIFS(종합비교표!$C$3:$C$26,B8,종합비교표!$M$3:$M$26,"확인불가")</f>
        <v>0</v>
      </c>
    </row>
    <row r="9" spans="2:6">
      <c r="B9" s="21" t="s">
        <v>162</v>
      </c>
      <c r="C9" s="4">
        <f>COUNTIF(종합비교표!$C$3:$C$26,B9)</f>
        <v>1</v>
      </c>
      <c r="D9" s="4">
        <f>COUNTIFS(종합비교표!$C$3:$C$26,B9,종합비교표!$M$3:$M$26,"진행중")</f>
        <v>0</v>
      </c>
      <c r="E9" s="4">
        <f>COUNTIFS(종합비교표!$C$3:$C$26,B9,종합비교표!$M$3:$M$26,"종료")</f>
        <v>1</v>
      </c>
      <c r="F9" s="4">
        <f>COUNTIFS(종합비교표!$C$3:$C$26,B9,종합비교표!$M$3:$M$26,"확인불가")</f>
        <v>0</v>
      </c>
    </row>
    <row r="10" spans="2:6">
      <c r="B10" s="21" t="s">
        <v>172</v>
      </c>
      <c r="C10" s="4">
        <f>COUNTIF(종합비교표!$C$3:$C$26,B10)</f>
        <v>2</v>
      </c>
      <c r="D10" s="4">
        <f>COUNTIFS(종합비교표!$C$3:$C$26,B10,종합비교표!$M$3:$M$26,"진행중")</f>
        <v>0</v>
      </c>
      <c r="E10" s="4">
        <f>COUNTIFS(종합비교표!$C$3:$C$26,B10,종합비교표!$M$3:$M$26,"종료")</f>
        <v>2</v>
      </c>
      <c r="F10" s="4">
        <f>COUNTIFS(종합비교표!$C$3:$C$26,B10,종합비교표!$M$3:$M$26,"확인불가")</f>
        <v>0</v>
      </c>
    </row>
    <row r="11" spans="2:6">
      <c r="B11" s="21" t="s">
        <v>184</v>
      </c>
      <c r="C11" s="4">
        <f>COUNTIF(종합비교표!$C$3:$C$26,B11)</f>
        <v>2</v>
      </c>
      <c r="D11" s="4">
        <f>COUNTIFS(종합비교표!$C$3:$C$26,B11,종합비교표!$M$3:$M$26,"진행중")</f>
        <v>0</v>
      </c>
      <c r="E11" s="4">
        <f>COUNTIFS(종합비교표!$C$3:$C$26,B11,종합비교표!$M$3:$M$26,"종료")</f>
        <v>1</v>
      </c>
      <c r="F11" s="4">
        <f>COUNTIFS(종합비교표!$C$3:$C$26,B11,종합비교표!$M$3:$M$26,"확인불가")</f>
        <v>1</v>
      </c>
    </row>
    <row r="12" spans="2:6">
      <c r="B12" s="21" t="s">
        <v>202</v>
      </c>
      <c r="C12" s="4">
        <f>COUNTIF(종합비교표!$C$3:$C$26,B12)</f>
        <v>1</v>
      </c>
      <c r="D12" s="4">
        <f>COUNTIFS(종합비교표!$C$3:$C$26,B12,종합비교표!$M$3:$M$26,"진행중")</f>
        <v>0</v>
      </c>
      <c r="E12" s="4">
        <f>COUNTIFS(종합비교표!$C$3:$C$26,B12,종합비교표!$M$3:$M$26,"종료")</f>
        <v>1</v>
      </c>
      <c r="F12" s="4">
        <f>COUNTIFS(종합비교표!$C$3:$C$26,B12,종합비교표!$M$3:$M$26,"확인불가")</f>
        <v>0</v>
      </c>
    </row>
    <row r="13" spans="2:6">
      <c r="B13" s="21" t="s">
        <v>211</v>
      </c>
      <c r="C13" s="4">
        <f>COUNTIF(종합비교표!$C$3:$C$26,B13)</f>
        <v>2</v>
      </c>
      <c r="D13" s="4">
        <f>COUNTIFS(종합비교표!$C$3:$C$26,B13,종합비교표!$M$3:$M$26,"진행중")</f>
        <v>0</v>
      </c>
      <c r="E13" s="4">
        <f>COUNTIFS(종합비교표!$C$3:$C$26,B13,종합비교표!$M$3:$M$26,"종료")</f>
        <v>2</v>
      </c>
      <c r="F13" s="4">
        <f>COUNTIFS(종합비교표!$C$3:$C$26,B13,종합비교표!$M$3:$M$26,"확인불가")</f>
        <v>0</v>
      </c>
    </row>
    <row r="14" spans="2:6">
      <c r="B14" s="22" t="s">
        <v>249</v>
      </c>
      <c r="C14" s="23">
        <f>SUM(C4:C13)</f>
        <v>18</v>
      </c>
      <c r="D14" s="23">
        <f>SUM(D4:D13)</f>
        <v>2</v>
      </c>
      <c r="E14" s="23">
        <f>SUM(E4:E13)</f>
        <v>14</v>
      </c>
      <c r="F14" s="23">
        <f>SUM(F4:F13)</f>
        <v>2</v>
      </c>
    </row>
    <row r="17" spans="2:6">
      <c r="B17" s="24" t="s">
        <v>250</v>
      </c>
    </row>
    <row r="18" spans="2:6">
      <c r="B18" s="25" t="s">
        <v>251</v>
      </c>
      <c r="C18" s="2" t="s">
        <v>10</v>
      </c>
      <c r="D18" s="2"/>
      <c r="E18" s="2"/>
      <c r="F18" s="2"/>
    </row>
    <row r="19" spans="2:6" ht="79.900000000000006" customHeight="1">
      <c r="B19" s="26" t="s">
        <v>252</v>
      </c>
      <c r="C19" s="1" t="s">
        <v>253</v>
      </c>
      <c r="D19" s="1"/>
      <c r="E19" s="1"/>
      <c r="F19" s="1"/>
    </row>
    <row r="20" spans="2:6" ht="64.150000000000006" customHeight="1">
      <c r="B20" s="26" t="s">
        <v>254</v>
      </c>
      <c r="C20" s="1" t="s">
        <v>255</v>
      </c>
      <c r="D20" s="1"/>
      <c r="E20" s="1"/>
      <c r="F20" s="1"/>
    </row>
    <row r="21" spans="2:6" ht="48.6" customHeight="1">
      <c r="B21" s="26" t="s">
        <v>256</v>
      </c>
      <c r="C21" s="1" t="s">
        <v>257</v>
      </c>
      <c r="D21" s="1"/>
      <c r="E21" s="1"/>
      <c r="F21" s="1"/>
    </row>
    <row r="22" spans="2:6" ht="48.6" customHeight="1">
      <c r="B22" s="27" t="s">
        <v>78</v>
      </c>
      <c r="C22" s="1" t="s">
        <v>258</v>
      </c>
      <c r="D22" s="1"/>
      <c r="E22" s="1"/>
      <c r="F22" s="1"/>
    </row>
    <row r="23" spans="2:6" ht="77.650000000000006" customHeight="1">
      <c r="B23" s="26" t="s">
        <v>259</v>
      </c>
      <c r="C23" s="1" t="s">
        <v>260</v>
      </c>
      <c r="D23" s="1"/>
      <c r="E23" s="1"/>
      <c r="F23" s="1"/>
    </row>
    <row r="24" spans="2:6" ht="48.6" customHeight="1">
      <c r="B24" s="26" t="s">
        <v>261</v>
      </c>
      <c r="C24" s="1" t="s">
        <v>262</v>
      </c>
      <c r="D24" s="1"/>
      <c r="E24" s="1"/>
      <c r="F24" s="1"/>
    </row>
    <row r="25" spans="2:6" ht="48.6" customHeight="1">
      <c r="B25" s="27" t="s">
        <v>263</v>
      </c>
      <c r="C25" s="1" t="s">
        <v>264</v>
      </c>
      <c r="D25" s="1"/>
      <c r="E25" s="1"/>
      <c r="F25" s="1"/>
    </row>
    <row r="26" spans="2:6" ht="64.150000000000006" customHeight="1">
      <c r="B26" s="26" t="s">
        <v>265</v>
      </c>
      <c r="C26" s="1" t="s">
        <v>266</v>
      </c>
      <c r="D26" s="1"/>
      <c r="E26" s="1"/>
      <c r="F26" s="1"/>
    </row>
  </sheetData>
  <mergeCells count="9">
    <mergeCell ref="C23:F23"/>
    <mergeCell ref="C24:F24"/>
    <mergeCell ref="C25:F25"/>
    <mergeCell ref="C26:F26"/>
    <mergeCell ref="C18:F18"/>
    <mergeCell ref="C19:F19"/>
    <mergeCell ref="C20:F20"/>
    <mergeCell ref="C21:F21"/>
    <mergeCell ref="C22:F22"/>
  </mergeCells>
  <phoneticPr fontId="1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종합비교표</vt:lpstr>
      <vt:lpstr>접수현황 요약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x</cp:lastModifiedBy>
  <cp:revision>0</cp:revision>
  <dcterms:created xsi:type="dcterms:W3CDTF">2026-09-08T07:59:26Z</dcterms:created>
  <dcterms:modified xsi:type="dcterms:W3CDTF">2026-09-08T10:27:00Z</dcterms:modified>
  <dc:language>en-US</dc:language>
</cp:coreProperties>
</file>